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04586CA-28BC-4E57-962F-54B6A1B866A2}" xr6:coauthVersionLast="47" xr6:coauthVersionMax="47" xr10:uidLastSave="{00000000-0000-0000-0000-000000000000}"/>
  <bookViews>
    <workbookView xWindow="-120" yWindow="-120" windowWidth="24240" windowHeight="131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3" l="1"/>
  <c r="D22" i="3"/>
</calcChain>
</file>

<file path=xl/sharedStrings.xml><?xml version="1.0" encoding="utf-8"?>
<sst xmlns="http://schemas.openxmlformats.org/spreadsheetml/2006/main" count="2037" uniqueCount="329">
  <si>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</si>
  <si>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</si>
  <si>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</si>
  <si>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</si>
  <si>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</si>
  <si>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</si>
  <si>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</si>
  <si>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</si>
  <si>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</si>
  <si>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</si>
  <si>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</si>
  <si>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</si>
  <si>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</si>
  <si>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</si>
  <si>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</si>
  <si>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</si>
  <si>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</si>
  <si>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</si>
  <si>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</si>
  <si>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</si>
  <si>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</si>
  <si>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</si>
  <si>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</si>
  <si>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</si>
  <si>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</si>
  <si>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</si>
  <si>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</si>
  <si>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</si>
  <si>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</si>
  <si>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</si>
  <si>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</si>
  <si>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</si>
  <si>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</si>
  <si>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</si>
  <si>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</si>
  <si>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</si>
  <si>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</si>
  <si>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</si>
  <si>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</si>
  <si>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</si>
  <si>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</si>
  <si>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</si>
  <si>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</si>
  <si>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</si>
  <si>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</si>
  <si>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</si>
  <si>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</si>
  <si>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</si>
  <si>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</si>
  <si>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</si>
  <si>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</si>
  <si>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</si>
  <si>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</si>
  <si>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</si>
  <si>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</si>
  <si>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</si>
  <si>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</si>
  <si>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</si>
  <si>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</si>
  <si>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</si>
  <si>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</si>
  <si>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</si>
  <si>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</si>
  <si>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</si>
  <si>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</si>
  <si>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</si>
  <si>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</si>
  <si>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</si>
  <si>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</si>
  <si>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</si>
  <si>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</si>
  <si>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</si>
  <si>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</si>
  <si>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</si>
  <si>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</si>
  <si>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</si>
  <si>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</si>
  <si>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</si>
  <si>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</si>
  <si>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</si>
  <si>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</si>
  <si>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</si>
  <si>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</si>
  <si>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</si>
  <si>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</si>
  <si>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</si>
  <si>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</si>
  <si>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</si>
  <si>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</si>
  <si>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</si>
  <si>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</si>
  <si>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</si>
  <si>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</si>
  <si>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</si>
  <si>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</si>
  <si>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</si>
  <si>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</si>
  <si>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</si>
  <si>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</si>
  <si>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</si>
  <si>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</si>
  <si>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</si>
  <si>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</si>
  <si>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</si>
  <si>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</si>
  <si>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</si>
  <si>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</si>
  <si>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</si>
  <si>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</si>
  <si>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</si>
  <si>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</si>
  <si>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</si>
  <si>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</si>
  <si>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</si>
  <si>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</si>
  <si>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</si>
  <si>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</si>
  <si>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</si>
  <si>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</si>
  <si>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</si>
  <si>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</si>
  <si>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</si>
  <si>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</si>
  <si>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</si>
  <si>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</si>
  <si>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</si>
  <si>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</si>
  <si>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</si>
  <si>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</si>
  <si>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</si>
  <si>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</si>
  <si>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</si>
  <si>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</si>
  <si>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</si>
  <si>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</si>
  <si>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</si>
  <si>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</si>
  <si>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</si>
  <si>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</si>
  <si>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</si>
  <si>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</si>
  <si>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</si>
  <si>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</si>
  <si>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</si>
  <si>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</si>
  <si>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</si>
  <si>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</si>
  <si>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</si>
  <si>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</si>
  <si>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</si>
  <si>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</si>
  <si>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</si>
  <si>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</si>
  <si>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</si>
  <si>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</si>
  <si>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</si>
  <si>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</si>
  <si>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</si>
  <si>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</si>
  <si>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</si>
  <si>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</si>
  <si>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</si>
  <si>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</si>
  <si>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</si>
  <si>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</si>
  <si>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</si>
  <si>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</si>
  <si>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</si>
  <si>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</si>
  <si>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</si>
  <si>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</si>
  <si>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</si>
  <si>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</si>
  <si>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</si>
  <si>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</si>
  <si>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</si>
  <si>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</si>
  <si>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</si>
  <si>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</si>
  <si>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</si>
  <si>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</si>
  <si>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</si>
  <si>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</si>
  <si>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</si>
  <si>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</si>
  <si>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</si>
  <si>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</si>
  <si>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</si>
  <si>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</si>
  <si>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</si>
  <si>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</si>
  <si>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</si>
  <si>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</si>
  <si>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</si>
  <si>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</si>
  <si>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</si>
  <si>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</si>
  <si>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</si>
  <si>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</si>
  <si>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</si>
  <si>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</si>
  <si>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</si>
  <si>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</si>
  <si>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</si>
  <si>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</si>
  <si>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</si>
  <si>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</si>
  <si>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</si>
  <si>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</si>
  <si>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</si>
  <si>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</si>
  <si>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</si>
  <si>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</si>
  <si>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</si>
  <si>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</si>
  <si>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</si>
  <si>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</si>
  <si>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</si>
  <si>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</si>
  <si>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</si>
  <si>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</si>
  <si>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</si>
  <si>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</si>
  <si>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</si>
  <si>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</si>
  <si>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</si>
  <si>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</si>
  <si>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</si>
  <si>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</si>
  <si>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</si>
  <si>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</si>
  <si>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</si>
  <si>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</si>
  <si>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</si>
  <si>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</si>
  <si>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</si>
  <si>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</si>
  <si>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</si>
  <si>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</si>
  <si>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</si>
  <si>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</si>
  <si>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</si>
  <si>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</si>
  <si>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</si>
  <si>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</si>
  <si>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</si>
  <si>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</si>
  <si>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</si>
  <si>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</si>
  <si>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</si>
  <si>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</si>
  <si>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</si>
  <si>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</si>
  <si>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</si>
  <si>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</si>
  <si>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</si>
  <si>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</si>
  <si>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</si>
  <si>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</si>
  <si>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</si>
  <si>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</si>
  <si>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</si>
  <si>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</si>
  <si>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</si>
  <si>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</si>
  <si>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</si>
  <si>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</si>
  <si>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</si>
  <si>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</si>
  <si>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</si>
  <si>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</si>
  <si>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</si>
  <si>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</si>
  <si>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</si>
  <si>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</si>
  <si>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</si>
  <si>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</si>
  <si>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</si>
  <si>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</si>
  <si>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</si>
  <si>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</si>
  <si>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</si>
  <si>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</si>
  <si>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</si>
  <si>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</si>
  <si>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</si>
  <si>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</si>
  <si>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</si>
  <si>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</si>
  <si>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</si>
  <si>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</si>
  <si>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</si>
  <si>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</si>
  <si>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</si>
  <si>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</si>
  <si>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</si>
  <si>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</si>
  <si>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</si>
  <si>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</si>
  <si>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</si>
  <si>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</si>
  <si>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</si>
  <si>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</si>
  <si>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</si>
  <si>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</si>
  <si>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</si>
  <si>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</si>
  <si>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</si>
  <si>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</si>
  <si>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</si>
  <si>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</si>
  <si>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</si>
  <si>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</si>
  <si>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1: Qual o faturamento total de vendas dos planos anuais (contendo todas as assinaturas agregadas)</t>
  </si>
  <si>
    <t>Rótulos de Linha</t>
  </si>
  <si>
    <t>Total Geral</t>
  </si>
  <si>
    <t>Soma de Total Value</t>
  </si>
  <si>
    <t>Pergunta 2: Qual o faturamento total de vendas dos planos anuais (separado por auto renovação e não auto renovação)</t>
  </si>
  <si>
    <t xml:space="preserve">XBOX GAME PASS SUBSCRIPTIONS SALES </t>
  </si>
  <si>
    <t>Pergunta 3: Total de vendas de assinaturas do EA Play</t>
  </si>
  <si>
    <t>Soma de EA Play Season Pass</t>
  </si>
  <si>
    <t>Pergunta 4:Total de vendas de assinaturas do Minecraft</t>
  </si>
  <si>
    <t>Soma de Minecraft Season Pass Price</t>
  </si>
  <si>
    <t>Bem Vindo, Felipe!</t>
  </si>
  <si>
    <t>Update date: 11-21-2025</t>
  </si>
  <si>
    <t>Assessment period: 01-01-2024 a 12-31-2024</t>
  </si>
  <si>
    <t>Pergunta 5: Qual é a taxa de auto renovação por plano e como isso afeta a receita recorrente</t>
  </si>
  <si>
    <t>Contagem de Subscriber ID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</si>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</sst>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Segoe UI"/>
      <family val="2"/>
    </font>
    <font>
      <sz val="36"/>
      <color rgb="FF22C55E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scheme val="minor"/>
    </font>
    <font>
      <sz val="11"/>
      <color theme="1" tint="0.499984740745262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C45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8" borderId="0" xfId="0" applyFill="1"/>
    <xf numFmtId="0" fontId="5" fillId="0" borderId="0" xfId="0" applyFont="1"/>
    <xf numFmtId="165" fontId="0" fillId="0" borderId="0" xfId="0" applyNumberFormat="1"/>
    <xf numFmtId="0" fontId="6" fillId="0" borderId="2" xfId="1" applyFont="1" applyBorder="1"/>
    <xf numFmtId="0" fontId="4" fillId="0" borderId="2" xfId="0" applyFont="1" applyBorder="1"/>
    <xf numFmtId="0" fontId="0" fillId="0" borderId="2" xfId="0" applyBorder="1"/>
    <xf numFmtId="0" fontId="6" fillId="0" borderId="2" xfId="1" applyFont="1" applyBorder="1" applyAlignment="1">
      <alignment horizontal="left" indent="6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indent="4"/>
    </xf>
    <xf numFmtId="0" fontId="8" fillId="8" borderId="0" xfId="0" applyFont="1" applyFill="1"/>
    <xf numFmtId="1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C45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37B1BA4-94DD-410E-93CE-F83B792F8C90}">
      <tableStyleElement type="wholeTable" dxfId="15"/>
      <tableStyleElement type="headerRow" dxfId="14"/>
    </tableStyle>
  </tableStyles>
  <colors>
    <mruColors>
      <color rgb="FF00C459"/>
      <color rgb="FF22C55E"/>
      <color rgb="FF5BF6A8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[Xbox.xlsx]C̳álculos!Tabela dinâmica4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C45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843172301800915E-2"/>
          <c:y val="2.7038318157431504E-2"/>
          <c:w val="0.93151191997145477"/>
          <c:h val="0.669329361983783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C45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C̳álculos!$B$9:$B$11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2-4969-843C-3C85F754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4615679"/>
        <c:axId val="1404616095"/>
      </c:barChart>
      <c:catAx>
        <c:axId val="140461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616095"/>
        <c:crosses val="autoZero"/>
        <c:auto val="1"/>
        <c:lblAlgn val="ctr"/>
        <c:lblOffset val="100"/>
        <c:noMultiLvlLbl val="0"/>
      </c:catAx>
      <c:valAx>
        <c:axId val="140461609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046156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[Xbox.xlsx]C̳álculos!Tabela dinâmica1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92301601506798"/>
          <c:y val="0"/>
          <c:w val="0.79952522233084033"/>
          <c:h val="0.9117794625493714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C̳álculos!$B$40:$B$41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C̳álculos!$A$42:$A$45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C̳álculos!$B$42:$B$45</c:f>
              <c:numCache>
                <c:formatCode>0.00%</c:formatCode>
                <c:ptCount val="3"/>
                <c:pt idx="0">
                  <c:v>0.2857142857142857</c:v>
                </c:pt>
                <c:pt idx="1">
                  <c:v>0.125</c:v>
                </c:pt>
                <c:pt idx="2">
                  <c:v>0.42424242424242425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B-4CEA-9BD4-2F164EAD5B68}"/>
            </c:ext>
          </c:extLst>
        </c:ser>
        <c:ser>
          <c:idx val="1"/>
          <c:order val="1"/>
          <c:tx>
            <c:strRef>
              <c:f>C̳álculos!$C$40:$C$41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C̳álculos!$A$42:$A$45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C̳álculos!$C$42:$C$45</c:f>
              <c:numCache>
                <c:formatCode>0.00%</c:formatCode>
                <c:ptCount val="3"/>
                <c:pt idx="0">
                  <c:v>0.7142857142857143</c:v>
                </c:pt>
                <c:pt idx="1">
                  <c:v>0.875</c:v>
                </c:pt>
                <c:pt idx="2">
                  <c:v>0.5757575757575758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B-4CEA-9BD4-2F164EAD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52088015"/>
        <c:axId val="1652086767"/>
      </c:barChart>
      <c:catAx>
        <c:axId val="165208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086767"/>
        <c:crosses val="autoZero"/>
        <c:auto val="1"/>
        <c:lblAlgn val="ctr"/>
        <c:lblOffset val="100"/>
        <c:noMultiLvlLbl val="0"/>
      </c:catAx>
      <c:valAx>
        <c:axId val="165208676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65208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10" Type="http://schemas.openxmlformats.org/officeDocument/2006/relationships/chart" Target="../charts/chart2.xml"/><Relationship Id="rId4" Type="http://schemas.openxmlformats.org/officeDocument/2006/relationships/image" Target="../media/image9.png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32146</xdr:colOff>
      <xdr:row>1</xdr:row>
      <xdr:rowOff>25004</xdr:rowOff>
    </xdr:from>
    <xdr:to>
      <xdr:col>2</xdr:col>
      <xdr:colOff>634602</xdr:colOff>
      <xdr:row>1</xdr:row>
      <xdr:rowOff>488156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40BC2C-2F8A-4BFC-B4CC-3C2503B83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867" b="-4441"/>
        <a:stretch/>
      </xdr:blipFill>
      <xdr:spPr>
        <a:xfrm>
          <a:off x="2199084" y="215504"/>
          <a:ext cx="602456" cy="463152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7</xdr:row>
      <xdr:rowOff>261937</xdr:rowOff>
    </xdr:from>
    <xdr:to>
      <xdr:col>0</xdr:col>
      <xdr:colOff>1864519</xdr:colOff>
      <xdr:row>14</xdr:row>
      <xdr:rowOff>173830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A2AB444-FDC0-44F5-9F10-3BE90A832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845468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381002</xdr:colOff>
      <xdr:row>7</xdr:row>
      <xdr:rowOff>255982</xdr:rowOff>
    </xdr:from>
    <xdr:to>
      <xdr:col>7</xdr:col>
      <xdr:colOff>631035</xdr:colOff>
      <xdr:row>16</xdr:row>
      <xdr:rowOff>23812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A361DBB-EC3A-4FE4-9A8A-F022B8DF0BA5}"/>
            </a:ext>
          </a:extLst>
        </xdr:cNvPr>
        <xdr:cNvGrpSpPr/>
      </xdr:nvGrpSpPr>
      <xdr:grpSpPr>
        <a:xfrm>
          <a:off x="2547940" y="1839513"/>
          <a:ext cx="3702845" cy="1613299"/>
          <a:chOff x="2689840" y="1202531"/>
          <a:chExt cx="3115266" cy="1404590"/>
        </a:xfrm>
      </xdr:grpSpPr>
      <xdr:sp macro="" textlink="C̳álculos!D22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7E771E9-B912-403B-B041-E1FD21F245DD}"/>
              </a:ext>
            </a:extLst>
          </xdr:cNvPr>
          <xdr:cNvSpPr/>
        </xdr:nvSpPr>
        <xdr:spPr>
          <a:xfrm>
            <a:off x="2702719" y="1214435"/>
            <a:ext cx="3102387" cy="111280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B133D81C-B076-461F-9D55-131B05CE445A}" type="TxLink">
              <a:rPr lang="en-US" sz="2800" b="0" i="0" u="none" strike="noStrike">
                <a:solidFill>
                  <a:srgbClr val="00C45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R$ 990,00 </a:t>
            </a:fld>
            <a:endParaRPr lang="pt-BR" sz="2800">
              <a:solidFill>
                <a:srgbClr val="00C459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A78C745B-47D5-4D44-8418-DB2D266CFD73}"/>
              </a:ext>
            </a:extLst>
          </xdr:cNvPr>
          <xdr:cNvSpPr/>
        </xdr:nvSpPr>
        <xdr:spPr>
          <a:xfrm>
            <a:off x="2689840" y="1202531"/>
            <a:ext cx="3115266" cy="357188"/>
          </a:xfrm>
          <a:prstGeom prst="round2SameRect">
            <a:avLst/>
          </a:prstGeom>
          <a:solidFill>
            <a:srgbClr val="00C45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 Subscriptions EA Play Season Pass</a:t>
            </a: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98925EE9-1ABD-4A75-B74E-8982D3812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74503" y="1454596"/>
            <a:ext cx="1067452" cy="1152525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357184</xdr:colOff>
      <xdr:row>19</xdr:row>
      <xdr:rowOff>83345</xdr:rowOff>
    </xdr:from>
    <xdr:to>
      <xdr:col>8</xdr:col>
      <xdr:colOff>59528</xdr:colOff>
      <xdr:row>26</xdr:row>
      <xdr:rowOff>130969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69DB13AD-6022-401E-9C2C-95613309AE87}"/>
            </a:ext>
          </a:extLst>
        </xdr:cNvPr>
        <xdr:cNvGrpSpPr/>
      </xdr:nvGrpSpPr>
      <xdr:grpSpPr>
        <a:xfrm>
          <a:off x="2524122" y="4048126"/>
          <a:ext cx="3845719" cy="1297781"/>
          <a:chOff x="7500938" y="1250159"/>
          <a:chExt cx="3845719" cy="108920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12F8C81-ED48-402D-BA7F-70CCC7080793}"/>
              </a:ext>
            </a:extLst>
          </xdr:cNvPr>
          <xdr:cNvGrpSpPr/>
        </xdr:nvGrpSpPr>
        <xdr:grpSpPr>
          <a:xfrm>
            <a:off x="7500938" y="1250159"/>
            <a:ext cx="3845719" cy="1089206"/>
            <a:chOff x="2895390" y="1178720"/>
            <a:chExt cx="3178372" cy="1089206"/>
          </a:xfrm>
        </xdr:grpSpPr>
        <xdr:sp macro="" textlink="C̳álculos!D33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6200F985-4231-4D8D-B592-12B4BE6AD30E}"/>
                </a:ext>
              </a:extLst>
            </xdr:cNvPr>
            <xdr:cNvSpPr/>
          </xdr:nvSpPr>
          <xdr:spPr>
            <a:xfrm>
              <a:off x="2895390" y="1279707"/>
              <a:ext cx="3168533" cy="98821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BA68E2BE-029C-45BE-A4E1-05239CB0EA7E}" type="TxLink">
                <a:rPr lang="en-US" sz="2800" b="0" i="0" u="none" strike="noStrike">
                  <a:solidFill>
                    <a:srgbClr val="00C459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r"/>
                <a:t> R$ 1.140,00 </a:t>
              </a:fld>
              <a:endParaRPr lang="pt-BR" sz="2800">
                <a:solidFill>
                  <a:srgbClr val="00C459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0DD813F7-64FB-4C74-9E4E-DFE8F1CA22B0}"/>
                </a:ext>
              </a:extLst>
            </xdr:cNvPr>
            <xdr:cNvSpPr/>
          </xdr:nvSpPr>
          <xdr:spPr>
            <a:xfrm>
              <a:off x="2905231" y="1178720"/>
              <a:ext cx="3168531" cy="350353"/>
            </a:xfrm>
            <a:prstGeom prst="round2SameRect">
              <a:avLst/>
            </a:prstGeom>
            <a:solidFill>
              <a:srgbClr val="00C459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/>
                <a:t>Total Subscriptions Minecraft Season Pass</a:t>
              </a:r>
            </a:p>
          </xdr:txBody>
        </xdr:sp>
      </xdr:grp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17EDE638-C5D3-4D8E-9E7B-4E5650321914}"/>
              </a:ext>
            </a:extLst>
          </xdr:cNvPr>
          <xdr:cNvGrpSpPr/>
        </xdr:nvGrpSpPr>
        <xdr:grpSpPr>
          <a:xfrm>
            <a:off x="7727155" y="1711669"/>
            <a:ext cx="1393032" cy="546744"/>
            <a:chOff x="3508918" y="5446859"/>
            <a:chExt cx="1549476" cy="767871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499CC3DE-DF05-463C-B5B1-CA6C09FBFC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38338" y="5446859"/>
              <a:ext cx="555497" cy="609600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5B067AA6-DCD2-498C-9F9F-1ADDFFE3C9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508918" y="595751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346225</xdr:colOff>
      <xdr:row>5</xdr:row>
      <xdr:rowOff>52208</xdr:rowOff>
    </xdr:from>
    <xdr:to>
      <xdr:col>21</xdr:col>
      <xdr:colOff>248373</xdr:colOff>
      <xdr:row>17</xdr:row>
      <xdr:rowOff>47625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461FFA2-1EB2-4DD5-AFC3-941A0C02AD81}"/>
            </a:ext>
          </a:extLst>
        </xdr:cNvPr>
        <xdr:cNvGrpSpPr/>
      </xdr:nvGrpSpPr>
      <xdr:grpSpPr>
        <a:xfrm>
          <a:off x="7347100" y="1183302"/>
          <a:ext cx="7998398" cy="2471917"/>
          <a:chOff x="1913634" y="2053123"/>
          <a:chExt cx="11003792" cy="3804774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9614429-251D-4A19-B042-1C4EE6A7F88D}"/>
              </a:ext>
            </a:extLst>
          </xdr:cNvPr>
          <xdr:cNvGrpSpPr/>
        </xdr:nvGrpSpPr>
        <xdr:grpSpPr>
          <a:xfrm>
            <a:off x="1924220" y="2262210"/>
            <a:ext cx="10985244" cy="3595687"/>
            <a:chOff x="2249283" y="971204"/>
            <a:chExt cx="4691062" cy="29051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E7893CC-0255-4CA9-B4CD-06E3D87F1947}"/>
                </a:ext>
              </a:extLst>
            </xdr:cNvPr>
            <xdr:cNvSpPr/>
          </xdr:nvSpPr>
          <xdr:spPr>
            <a:xfrm>
              <a:off x="2249283" y="971204"/>
              <a:ext cx="4691062" cy="2905125"/>
            </a:xfrm>
            <a:prstGeom prst="roundRect">
              <a:avLst>
                <a:gd name="adj" fmla="val 1051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02D85E9-6ADF-4881-84F0-9CAA6D73E7D4}"/>
                </a:ext>
              </a:extLst>
            </xdr:cNvPr>
            <xdr:cNvGraphicFramePr>
              <a:graphicFrameLocks/>
            </xdr:cNvGraphicFramePr>
          </xdr:nvGraphicFramePr>
          <xdr:xfrm>
            <a:off x="2478881" y="1477673"/>
            <a:ext cx="4402885" cy="21321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4BD5C7CD-107A-45C6-96AD-84D12D22F21D}"/>
              </a:ext>
            </a:extLst>
          </xdr:cNvPr>
          <xdr:cNvSpPr/>
        </xdr:nvSpPr>
        <xdr:spPr>
          <a:xfrm>
            <a:off x="1913634" y="2053123"/>
            <a:ext cx="11003792" cy="421864"/>
          </a:xfrm>
          <a:prstGeom prst="round2SameRect">
            <a:avLst/>
          </a:prstGeom>
          <a:solidFill>
            <a:srgbClr val="00C45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 Subscriptions X</a:t>
            </a:r>
            <a:r>
              <a:rPr lang="pt-BR" sz="1600" baseline="0"/>
              <a:t>BOX Game</a:t>
            </a:r>
            <a:r>
              <a:rPr lang="pt-BR" sz="1600"/>
              <a:t> Pass</a:t>
            </a:r>
          </a:p>
        </xdr:txBody>
      </xdr:sp>
    </xdr:grpSp>
    <xdr:clientData/>
  </xdr:twoCellAnchor>
  <xdr:twoCellAnchor editAs="absolute">
    <xdr:from>
      <xdr:col>0</xdr:col>
      <xdr:colOff>571500</xdr:colOff>
      <xdr:row>0</xdr:row>
      <xdr:rowOff>166688</xdr:rowOff>
    </xdr:from>
    <xdr:to>
      <xdr:col>0</xdr:col>
      <xdr:colOff>1343025</xdr:colOff>
      <xdr:row>2</xdr:row>
      <xdr:rowOff>133350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9F6BB616-5291-4AC3-868B-EA13D9E2E32D}"/>
            </a:ext>
          </a:extLst>
        </xdr:cNvPr>
        <xdr:cNvSpPr/>
      </xdr:nvSpPr>
      <xdr:spPr>
        <a:xfrm>
          <a:off x="571500" y="166688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130969</xdr:colOff>
      <xdr:row>4</xdr:row>
      <xdr:rowOff>154781</xdr:rowOff>
    </xdr:from>
    <xdr:to>
      <xdr:col>0</xdr:col>
      <xdr:colOff>445294</xdr:colOff>
      <xdr:row>6</xdr:row>
      <xdr:rowOff>35719</xdr:rowOff>
    </xdr:to>
    <xdr:pic>
      <xdr:nvPicPr>
        <xdr:cNvPr id="23" name="Gráfico 22" descr="Lupa com preenchimento sólido">
          <a:extLst>
            <a:ext uri="{FF2B5EF4-FFF2-40B4-BE49-F238E27FC236}">
              <a16:creationId xmlns:a16="http://schemas.microsoft.com/office/drawing/2014/main" id="{961ECEDE-29F6-401E-9FA6-DE46D24C8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0969" y="1119187"/>
          <a:ext cx="314325" cy="357188"/>
        </a:xfrm>
        <a:prstGeom prst="rect">
          <a:avLst/>
        </a:prstGeom>
      </xdr:spPr>
    </xdr:pic>
    <xdr:clientData/>
  </xdr:twoCellAnchor>
  <xdr:twoCellAnchor>
    <xdr:from>
      <xdr:col>9</xdr:col>
      <xdr:colOff>428625</xdr:colOff>
      <xdr:row>19</xdr:row>
      <xdr:rowOff>35721</xdr:rowOff>
    </xdr:from>
    <xdr:to>
      <xdr:col>21</xdr:col>
      <xdr:colOff>190500</xdr:colOff>
      <xdr:row>35</xdr:row>
      <xdr:rowOff>107156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8AFA8A4-A25B-4C34-A6A0-5DECA733A133}"/>
            </a:ext>
          </a:extLst>
        </xdr:cNvPr>
        <xdr:cNvGrpSpPr/>
      </xdr:nvGrpSpPr>
      <xdr:grpSpPr>
        <a:xfrm>
          <a:off x="7429500" y="4000502"/>
          <a:ext cx="7858125" cy="2928935"/>
          <a:chOff x="9013031" y="2893219"/>
          <a:chExt cx="6619875" cy="3238499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B841B564-068B-4DD5-AAD0-FD0652DD1BC2}"/>
              </a:ext>
            </a:extLst>
          </xdr:cNvPr>
          <xdr:cNvSpPr/>
        </xdr:nvSpPr>
        <xdr:spPr>
          <a:xfrm>
            <a:off x="9013031" y="3012279"/>
            <a:ext cx="6619875" cy="3119439"/>
          </a:xfrm>
          <a:prstGeom prst="roundRect">
            <a:avLst>
              <a:gd name="adj" fmla="val 924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ECBE8EB7-B121-4D59-9401-652D77535BF3}"/>
              </a:ext>
            </a:extLst>
          </xdr:cNvPr>
          <xdr:cNvGraphicFramePr>
            <a:graphicFrameLocks/>
          </xdr:cNvGraphicFramePr>
        </xdr:nvGraphicFramePr>
        <xdr:xfrm>
          <a:off x="9283845" y="3452814"/>
          <a:ext cx="6038127" cy="24169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6415FC2F-C3D9-435E-922B-5DD7B6907454}"/>
              </a:ext>
            </a:extLst>
          </xdr:cNvPr>
          <xdr:cNvSpPr/>
        </xdr:nvSpPr>
        <xdr:spPr>
          <a:xfrm>
            <a:off x="9013031" y="2893219"/>
            <a:ext cx="6619875" cy="369093"/>
          </a:xfrm>
          <a:prstGeom prst="round2SameRect">
            <a:avLst/>
          </a:prstGeom>
          <a:solidFill>
            <a:srgbClr val="00C45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Renewal and Non-renewal Rate by Plan</a:t>
            </a:r>
            <a:endParaRPr lang="pt-BR" sz="1600" b="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82.492783912036" createdVersion="7" refreshedVersion="7" minRefreshableVersion="3" recordCount="295" xr:uid="{5919A4F6-313D-4548-9A46-FA00EBDF7A1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447978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s v="Yes"/>
    <x v="0"/>
    <s v="Yes"/>
    <n v="20"/>
    <n v="5"/>
    <n v="60"/>
  </r>
  <r>
    <x v="1"/>
    <s v="Maria Oliveira"/>
    <x v="1"/>
    <d v="2024-01-15T00:00:00"/>
    <x v="1"/>
    <n v="5"/>
    <x v="1"/>
    <s v="No"/>
    <x v="1"/>
    <s v="No"/>
    <n v="0"/>
    <n v="0"/>
    <n v="5"/>
  </r>
  <r>
    <x v="2"/>
    <s v="Lucas Fernandes"/>
    <x v="2"/>
    <d v="2024-02-10T00:00:00"/>
    <x v="0"/>
    <n v="10"/>
    <x v="2"/>
    <s v="No"/>
    <x v="1"/>
    <s v="Yes"/>
    <n v="20"/>
    <n v="10"/>
    <n v="20"/>
  </r>
  <r>
    <x v="3"/>
    <s v="Ana Souza"/>
    <x v="0"/>
    <d v="2024-02-20T00:00:00"/>
    <x v="1"/>
    <n v="15"/>
    <x v="0"/>
    <s v="Yes"/>
    <x v="0"/>
    <s v="Yes"/>
    <n v="20"/>
    <n v="3"/>
    <n v="62"/>
  </r>
  <r>
    <x v="4"/>
    <s v="Pedro Gonçalves"/>
    <x v="1"/>
    <d v="2024-03-05T00:00:00"/>
    <x v="0"/>
    <n v="5"/>
    <x v="0"/>
    <s v="No"/>
    <x v="1"/>
    <s v="No"/>
    <n v="0"/>
    <n v="1"/>
    <n v="4"/>
  </r>
  <r>
    <x v="5"/>
    <s v="Felipe Costa"/>
    <x v="2"/>
    <d v="2024-03-02T00:00:00"/>
    <x v="1"/>
    <n v="10"/>
    <x v="0"/>
    <s v="No"/>
    <x v="1"/>
    <s v="Yes"/>
    <n v="20"/>
    <n v="2"/>
    <n v="28"/>
  </r>
  <r>
    <x v="6"/>
    <s v="Camila Ribeiro"/>
    <x v="0"/>
    <d v="2024-03-03T00:00:00"/>
    <x v="0"/>
    <n v="15"/>
    <x v="2"/>
    <s v="Yes"/>
    <x v="0"/>
    <s v="Yes"/>
    <n v="20"/>
    <n v="10"/>
    <n v="55"/>
  </r>
  <r>
    <x v="7"/>
    <s v="André Mendes"/>
    <x v="1"/>
    <d v="2024-03-04T00:00:00"/>
    <x v="0"/>
    <n v="5"/>
    <x v="1"/>
    <s v="No"/>
    <x v="1"/>
    <s v="No"/>
    <n v="0"/>
    <n v="0"/>
    <n v="5"/>
  </r>
  <r>
    <x v="8"/>
    <s v="Sofia Almeida"/>
    <x v="0"/>
    <d v="2024-03-05T00:00:00"/>
    <x v="1"/>
    <n v="15"/>
    <x v="0"/>
    <s v="Yes"/>
    <x v="0"/>
    <s v="Yes"/>
    <n v="20"/>
    <n v="5"/>
    <n v="60"/>
  </r>
  <r>
    <x v="9"/>
    <s v="Bruno Martins"/>
    <x v="2"/>
    <d v="2024-03-06T00:00:00"/>
    <x v="0"/>
    <n v="10"/>
    <x v="2"/>
    <s v="No"/>
    <x v="1"/>
    <s v="Yes"/>
    <n v="20"/>
    <n v="15"/>
    <n v="15"/>
  </r>
  <r>
    <x v="10"/>
    <s v="Rita Castro"/>
    <x v="1"/>
    <d v="2024-03-07T00:00:00"/>
    <x v="1"/>
    <n v="5"/>
    <x v="0"/>
    <s v="No"/>
    <x v="1"/>
    <s v="No"/>
    <n v="0"/>
    <n v="1"/>
    <n v="4"/>
  </r>
  <r>
    <x v="11"/>
    <s v="Marco Túlio"/>
    <x v="0"/>
    <d v="2024-03-08T00:00:00"/>
    <x v="0"/>
    <n v="15"/>
    <x v="1"/>
    <s v="Yes"/>
    <x v="0"/>
    <s v="Yes"/>
    <n v="20"/>
    <n v="20"/>
    <n v="45"/>
  </r>
  <r>
    <x v="12"/>
    <s v="Lívia Silveira"/>
    <x v="2"/>
    <d v="2024-03-09T00:00:00"/>
    <x v="1"/>
    <n v="10"/>
    <x v="0"/>
    <s v="No"/>
    <x v="1"/>
    <s v="Yes"/>
    <n v="20"/>
    <n v="10"/>
    <n v="20"/>
  </r>
  <r>
    <x v="13"/>
    <s v="Diogo Sousa"/>
    <x v="1"/>
    <d v="2024-03-10T00:00:00"/>
    <x v="0"/>
    <n v="5"/>
    <x v="2"/>
    <s v="No"/>
    <x v="1"/>
    <s v="No"/>
    <n v="0"/>
    <n v="0"/>
    <n v="5"/>
  </r>
  <r>
    <x v="14"/>
    <s v="Fernanda Lima"/>
    <x v="0"/>
    <d v="2024-03-11T00:00:00"/>
    <x v="1"/>
    <n v="15"/>
    <x v="0"/>
    <s v="Yes"/>
    <x v="0"/>
    <s v="Yes"/>
    <n v="20"/>
    <n v="8"/>
    <n v="57"/>
  </r>
  <r>
    <x v="15"/>
    <s v="Caio Pereira"/>
    <x v="2"/>
    <d v="2024-03-12T00:00:00"/>
    <x v="0"/>
    <n v="10"/>
    <x v="1"/>
    <s v="No"/>
    <x v="1"/>
    <s v="Yes"/>
    <n v="20"/>
    <n v="12"/>
    <n v="18"/>
  </r>
  <r>
    <x v="16"/>
    <s v="Beatriz Gomes"/>
    <x v="1"/>
    <d v="2024-03-13T00:00:00"/>
    <x v="1"/>
    <n v="5"/>
    <x v="0"/>
    <s v="No"/>
    <x v="1"/>
    <s v="No"/>
    <n v="0"/>
    <n v="2"/>
    <n v="3"/>
  </r>
  <r>
    <x v="17"/>
    <s v="Cesar Oliveira"/>
    <x v="0"/>
    <d v="2024-03-14T00:00:00"/>
    <x v="0"/>
    <n v="15"/>
    <x v="2"/>
    <s v="Yes"/>
    <x v="0"/>
    <s v="Yes"/>
    <n v="20"/>
    <n v="7"/>
    <n v="58"/>
  </r>
  <r>
    <x v="18"/>
    <s v="Débora Machado"/>
    <x v="2"/>
    <d v="2024-03-15T00:00:00"/>
    <x v="1"/>
    <n v="10"/>
    <x v="0"/>
    <s v="No"/>
    <x v="1"/>
    <s v="Yes"/>
    <n v="20"/>
    <n v="5"/>
    <n v="25"/>
  </r>
  <r>
    <x v="19"/>
    <s v="Eduardo Vargas"/>
    <x v="1"/>
    <d v="2024-03-16T00:00:00"/>
    <x v="0"/>
    <n v="5"/>
    <x v="1"/>
    <s v="No"/>
    <x v="1"/>
    <s v="No"/>
    <n v="0"/>
    <n v="0"/>
    <n v="5"/>
  </r>
  <r>
    <x v="20"/>
    <s v="Gabriela Santos"/>
    <x v="0"/>
    <d v="2024-03-17T00:00:00"/>
    <x v="1"/>
    <n v="15"/>
    <x v="0"/>
    <s v="Yes"/>
    <x v="0"/>
    <s v="Yes"/>
    <n v="20"/>
    <n v="3"/>
    <n v="62"/>
  </r>
  <r>
    <x v="21"/>
    <s v="Henrique Dias"/>
    <x v="2"/>
    <d v="2024-03-18T00:00:00"/>
    <x v="0"/>
    <n v="10"/>
    <x v="2"/>
    <s v="No"/>
    <x v="1"/>
    <s v="Yes"/>
    <n v="20"/>
    <n v="15"/>
    <n v="15"/>
  </r>
  <r>
    <x v="22"/>
    <s v="Isabela Moreira"/>
    <x v="1"/>
    <d v="2024-03-19T00:00:00"/>
    <x v="1"/>
    <n v="5"/>
    <x v="0"/>
    <s v="No"/>
    <x v="1"/>
    <s v="No"/>
    <n v="0"/>
    <n v="1"/>
    <n v="4"/>
  </r>
  <r>
    <x v="23"/>
    <s v="Joaquim Barbosa"/>
    <x v="0"/>
    <d v="2024-03-20T00:00:00"/>
    <x v="0"/>
    <n v="15"/>
    <x v="1"/>
    <s v="Yes"/>
    <x v="0"/>
    <s v="Yes"/>
    <n v="20"/>
    <n v="20"/>
    <n v="45"/>
  </r>
  <r>
    <x v="24"/>
    <s v="Lara Rocha"/>
    <x v="2"/>
    <d v="2024-03-21T00:00:00"/>
    <x v="1"/>
    <n v="10"/>
    <x v="0"/>
    <s v="No"/>
    <x v="1"/>
    <s v="Yes"/>
    <n v="20"/>
    <n v="10"/>
    <n v="20"/>
  </r>
  <r>
    <x v="25"/>
    <s v="Matheus Silva"/>
    <x v="1"/>
    <d v="2024-03-22T00:00:00"/>
    <x v="0"/>
    <n v="5"/>
    <x v="2"/>
    <s v="No"/>
    <x v="1"/>
    <s v="No"/>
    <n v="0"/>
    <n v="0"/>
    <n v="5"/>
  </r>
  <r>
    <x v="26"/>
    <s v="Nicole Costa"/>
    <x v="0"/>
    <d v="2024-03-23T00:00:00"/>
    <x v="1"/>
    <n v="15"/>
    <x v="0"/>
    <s v="Yes"/>
    <x v="0"/>
    <s v="Yes"/>
    <n v="20"/>
    <n v="5"/>
    <n v="60"/>
  </r>
  <r>
    <x v="27"/>
    <s v="Otávio Mendonça"/>
    <x v="2"/>
    <d v="2024-03-24T00:00:00"/>
    <x v="0"/>
    <n v="10"/>
    <x v="1"/>
    <s v="No"/>
    <x v="1"/>
    <s v="Yes"/>
    <n v="20"/>
    <n v="15"/>
    <n v="15"/>
  </r>
  <r>
    <x v="28"/>
    <s v="Paula Ferreira"/>
    <x v="1"/>
    <d v="2024-03-25T00:00:00"/>
    <x v="1"/>
    <n v="5"/>
    <x v="0"/>
    <s v="No"/>
    <x v="1"/>
    <s v="No"/>
    <n v="0"/>
    <n v="1"/>
    <n v="4"/>
  </r>
  <r>
    <x v="29"/>
    <s v="Raquel Alves"/>
    <x v="0"/>
    <d v="2024-03-26T00:00:00"/>
    <x v="0"/>
    <n v="15"/>
    <x v="2"/>
    <s v="Yes"/>
    <x v="0"/>
    <s v="Yes"/>
    <n v="20"/>
    <n v="7"/>
    <n v="58"/>
  </r>
  <r>
    <x v="30"/>
    <s v="Samuel Pires"/>
    <x v="2"/>
    <d v="2024-03-27T00:00:00"/>
    <x v="1"/>
    <n v="10"/>
    <x v="0"/>
    <s v="No"/>
    <x v="1"/>
    <s v="Yes"/>
    <n v="20"/>
    <n v="10"/>
    <n v="20"/>
  </r>
  <r>
    <x v="31"/>
    <s v="Tânia Barros"/>
    <x v="1"/>
    <d v="2024-03-28T00:00:00"/>
    <x v="0"/>
    <n v="5"/>
    <x v="1"/>
    <s v="No"/>
    <x v="1"/>
    <s v="No"/>
    <n v="0"/>
    <n v="0"/>
    <n v="5"/>
  </r>
  <r>
    <x v="32"/>
    <s v="Vinicius Lima"/>
    <x v="0"/>
    <d v="2024-03-29T00:00:00"/>
    <x v="1"/>
    <n v="15"/>
    <x v="0"/>
    <s v="Yes"/>
    <x v="0"/>
    <s v="Yes"/>
    <n v="20"/>
    <n v="3"/>
    <n v="62"/>
  </r>
  <r>
    <x v="33"/>
    <s v="Yasmin Teixeira"/>
    <x v="2"/>
    <d v="2024-03-30T00:00:00"/>
    <x v="0"/>
    <n v="10"/>
    <x v="2"/>
    <s v="No"/>
    <x v="1"/>
    <s v="Yes"/>
    <n v="20"/>
    <n v="15"/>
    <n v="15"/>
  </r>
  <r>
    <x v="34"/>
    <s v="Zé Carlos"/>
    <x v="1"/>
    <d v="2024-03-31T00:00:00"/>
    <x v="1"/>
    <n v="5"/>
    <x v="0"/>
    <s v="No"/>
    <x v="1"/>
    <s v="No"/>
    <n v="0"/>
    <n v="1"/>
    <n v="4"/>
  </r>
  <r>
    <x v="35"/>
    <s v="Amanda Nogueira"/>
    <x v="1"/>
    <d v="2024-04-01T00:00:00"/>
    <x v="0"/>
    <n v="5"/>
    <x v="0"/>
    <s v="No"/>
    <x v="1"/>
    <s v="No"/>
    <n v="0"/>
    <n v="0"/>
    <n v="5"/>
  </r>
  <r>
    <x v="36"/>
    <s v="Bruno Cavalheiro"/>
    <x v="0"/>
    <d v="2024-04-02T00:00:00"/>
    <x v="1"/>
    <n v="15"/>
    <x v="2"/>
    <s v="Yes"/>
    <x v="0"/>
    <s v="Yes"/>
    <n v="20"/>
    <n v="7"/>
    <n v="58"/>
  </r>
  <r>
    <x v="37"/>
    <s v="Carla Dias"/>
    <x v="2"/>
    <d v="2024-04-03T00:00:00"/>
    <x v="0"/>
    <n v="10"/>
    <x v="1"/>
    <s v="No"/>
    <x v="1"/>
    <s v="Yes"/>
    <n v="20"/>
    <n v="10"/>
    <n v="20"/>
  </r>
  <r>
    <x v="38"/>
    <s v="Diego Fontes"/>
    <x v="1"/>
    <d v="2024-04-04T00:00:00"/>
    <x v="1"/>
    <n v="5"/>
    <x v="2"/>
    <s v="No"/>
    <x v="1"/>
    <s v="No"/>
    <n v="0"/>
    <n v="1"/>
    <n v="4"/>
  </r>
  <r>
    <x v="39"/>
    <s v="Eunice Lima"/>
    <x v="0"/>
    <d v="2024-04-05T00:00:00"/>
    <x v="0"/>
    <n v="15"/>
    <x v="0"/>
    <s v="Yes"/>
    <x v="0"/>
    <s v="Yes"/>
    <n v="20"/>
    <n v="15"/>
    <n v="50"/>
  </r>
  <r>
    <x v="40"/>
    <s v="Fábio Martins"/>
    <x v="2"/>
    <d v="2024-04-06T00:00:00"/>
    <x v="1"/>
    <n v="10"/>
    <x v="0"/>
    <s v="No"/>
    <x v="1"/>
    <s v="Yes"/>
    <n v="20"/>
    <n v="5"/>
    <n v="25"/>
  </r>
  <r>
    <x v="41"/>
    <s v="Gisele Araújo"/>
    <x v="1"/>
    <d v="2024-04-07T00:00:00"/>
    <x v="0"/>
    <n v="5"/>
    <x v="1"/>
    <s v="No"/>
    <x v="1"/>
    <s v="No"/>
    <n v="0"/>
    <n v="0"/>
    <n v="5"/>
  </r>
  <r>
    <x v="42"/>
    <s v="Hélio Castro"/>
    <x v="0"/>
    <d v="2024-04-08T00:00:00"/>
    <x v="1"/>
    <n v="15"/>
    <x v="2"/>
    <s v="Yes"/>
    <x v="0"/>
    <s v="Yes"/>
    <n v="20"/>
    <n v="20"/>
    <n v="45"/>
  </r>
  <r>
    <x v="43"/>
    <s v="Ingrid Menezes"/>
    <x v="2"/>
    <d v="2024-04-09T00:00:00"/>
    <x v="0"/>
    <n v="10"/>
    <x v="2"/>
    <s v="No"/>
    <x v="1"/>
    <s v="Yes"/>
    <n v="20"/>
    <n v="12"/>
    <n v="18"/>
  </r>
  <r>
    <x v="44"/>
    <s v="Jorge Baptista"/>
    <x v="1"/>
    <d v="2024-04-10T00:00:00"/>
    <x v="1"/>
    <n v="5"/>
    <x v="0"/>
    <s v="No"/>
    <x v="1"/>
    <s v="No"/>
    <n v="0"/>
    <n v="2"/>
    <n v="3"/>
  </r>
  <r>
    <x v="45"/>
    <s v="Kléber Oliveira"/>
    <x v="0"/>
    <d v="2024-04-11T00:00:00"/>
    <x v="0"/>
    <n v="15"/>
    <x v="1"/>
    <s v="Yes"/>
    <x v="0"/>
    <s v="Yes"/>
    <n v="20"/>
    <n v="5"/>
    <n v="60"/>
  </r>
  <r>
    <x v="46"/>
    <s v="Luciana Freitas"/>
    <x v="2"/>
    <d v="2024-04-12T00:00:00"/>
    <x v="1"/>
    <n v="10"/>
    <x v="0"/>
    <s v="No"/>
    <x v="1"/>
    <s v="Yes"/>
    <n v="20"/>
    <n v="10"/>
    <n v="20"/>
  </r>
  <r>
    <x v="47"/>
    <s v="Márcia Eller"/>
    <x v="1"/>
    <d v="2024-04-13T00:00:00"/>
    <x v="0"/>
    <n v="5"/>
    <x v="2"/>
    <s v="No"/>
    <x v="1"/>
    <s v="No"/>
    <n v="0"/>
    <n v="0"/>
    <n v="5"/>
  </r>
  <r>
    <x v="48"/>
    <s v="Nilo Peçanha"/>
    <x v="0"/>
    <d v="2024-04-14T00:00:00"/>
    <x v="1"/>
    <n v="15"/>
    <x v="0"/>
    <s v="Yes"/>
    <x v="0"/>
    <s v="Yes"/>
    <n v="20"/>
    <n v="3"/>
    <n v="62"/>
  </r>
  <r>
    <x v="49"/>
    <s v="Oscar Neves"/>
    <x v="2"/>
    <d v="2024-04-15T00:00:00"/>
    <x v="0"/>
    <n v="10"/>
    <x v="1"/>
    <s v="No"/>
    <x v="1"/>
    <s v="Yes"/>
    <n v="20"/>
    <n v="15"/>
    <n v="15"/>
  </r>
  <r>
    <x v="50"/>
    <s v="Patrícia Soares"/>
    <x v="1"/>
    <d v="2024-04-16T00:00:00"/>
    <x v="1"/>
    <n v="5"/>
    <x v="0"/>
    <s v="No"/>
    <x v="1"/>
    <s v="No"/>
    <n v="0"/>
    <n v="1"/>
    <n v="4"/>
  </r>
  <r>
    <x v="51"/>
    <s v="Quirino Gonçalves"/>
    <x v="0"/>
    <d v="2024-04-17T00:00:00"/>
    <x v="0"/>
    <n v="15"/>
    <x v="2"/>
    <s v="Yes"/>
    <x v="0"/>
    <s v="Yes"/>
    <n v="20"/>
    <n v="7"/>
    <n v="58"/>
  </r>
  <r>
    <x v="52"/>
    <s v="Raul Machado"/>
    <x v="2"/>
    <d v="2024-04-18T00:00:00"/>
    <x v="1"/>
    <n v="10"/>
    <x v="0"/>
    <s v="No"/>
    <x v="1"/>
    <s v="Yes"/>
    <n v="20"/>
    <n v="10"/>
    <n v="20"/>
  </r>
  <r>
    <x v="53"/>
    <s v="Sônia Lobo"/>
    <x v="1"/>
    <d v="2024-04-19T00:00:00"/>
    <x v="0"/>
    <n v="5"/>
    <x v="1"/>
    <s v="No"/>
    <x v="1"/>
    <s v="No"/>
    <n v="0"/>
    <n v="0"/>
    <n v="5"/>
  </r>
  <r>
    <x v="54"/>
    <s v="Tiago Ramos"/>
    <x v="0"/>
    <d v="2024-04-20T00:00:00"/>
    <x v="1"/>
    <n v="15"/>
    <x v="0"/>
    <s v="Yes"/>
    <x v="0"/>
    <s v="Yes"/>
    <n v="20"/>
    <n v="20"/>
    <n v="45"/>
  </r>
  <r>
    <x v="55"/>
    <s v="Ugo Pires"/>
    <x v="2"/>
    <d v="2024-04-21T00:00:00"/>
    <x v="0"/>
    <n v="10"/>
    <x v="2"/>
    <s v="No"/>
    <x v="1"/>
    <s v="Yes"/>
    <n v="20"/>
    <n v="15"/>
    <n v="15"/>
  </r>
  <r>
    <x v="56"/>
    <s v="Valéria Nobre"/>
    <x v="1"/>
    <d v="2024-04-22T00:00:00"/>
    <x v="1"/>
    <n v="5"/>
    <x v="0"/>
    <s v="No"/>
    <x v="1"/>
    <s v="No"/>
    <n v="0"/>
    <n v="1"/>
    <n v="4"/>
  </r>
  <r>
    <x v="57"/>
    <s v="William Siqueira"/>
    <x v="0"/>
    <d v="2024-04-23T00:00:00"/>
    <x v="0"/>
    <n v="15"/>
    <x v="1"/>
    <s v="Yes"/>
    <x v="0"/>
    <s v="Yes"/>
    <n v="20"/>
    <n v="3"/>
    <n v="62"/>
  </r>
  <r>
    <x v="58"/>
    <s v="Xuxa Meneghel"/>
    <x v="2"/>
    <d v="2024-04-24T00:00:00"/>
    <x v="1"/>
    <n v="10"/>
    <x v="0"/>
    <s v="No"/>
    <x v="1"/>
    <s v="Yes"/>
    <n v="20"/>
    <n v="10"/>
    <n v="20"/>
  </r>
  <r>
    <x v="59"/>
    <s v="Yara Figueiredo"/>
    <x v="1"/>
    <d v="2024-04-25T00:00:00"/>
    <x v="0"/>
    <n v="5"/>
    <x v="2"/>
    <s v="No"/>
    <x v="1"/>
    <s v="No"/>
    <n v="0"/>
    <n v="0"/>
    <n v="5"/>
  </r>
  <r>
    <x v="60"/>
    <s v="Zacarias Alves"/>
    <x v="0"/>
    <d v="2024-04-26T00:00:00"/>
    <x v="1"/>
    <n v="15"/>
    <x v="0"/>
    <s v="Yes"/>
    <x v="0"/>
    <s v="Yes"/>
    <n v="20"/>
    <n v="5"/>
    <n v="60"/>
  </r>
  <r>
    <x v="61"/>
    <s v="Amanda Bynes"/>
    <x v="2"/>
    <d v="2024-04-27T00:00:00"/>
    <x v="0"/>
    <n v="10"/>
    <x v="1"/>
    <s v="No"/>
    <x v="1"/>
    <s v="Yes"/>
    <n v="20"/>
    <n v="15"/>
    <n v="15"/>
  </r>
  <r>
    <x v="62"/>
    <s v="Bruno Mars"/>
    <x v="1"/>
    <d v="2024-04-28T00:00:00"/>
    <x v="1"/>
    <n v="5"/>
    <x v="0"/>
    <s v="No"/>
    <x v="1"/>
    <s v="No"/>
    <n v="0"/>
    <n v="1"/>
    <n v="4"/>
  </r>
  <r>
    <x v="63"/>
    <s v="Carla Bruni"/>
    <x v="0"/>
    <d v="2024-04-29T00:00:00"/>
    <x v="0"/>
    <n v="15"/>
    <x v="2"/>
    <s v="Yes"/>
    <x v="0"/>
    <s v="Yes"/>
    <n v="20"/>
    <n v="20"/>
    <n v="45"/>
  </r>
  <r>
    <x v="64"/>
    <s v="Diego Maradona"/>
    <x v="2"/>
    <d v="2024-04-30T00:00:00"/>
    <x v="1"/>
    <n v="10"/>
    <x v="0"/>
    <s v="No"/>
    <x v="1"/>
    <s v="Yes"/>
    <n v="20"/>
    <n v="5"/>
    <n v="25"/>
  </r>
  <r>
    <x v="65"/>
    <s v="Estela Marques"/>
    <x v="1"/>
    <d v="2024-05-01T00:00:00"/>
    <x v="1"/>
    <n v="5"/>
    <x v="0"/>
    <s v="No"/>
    <x v="1"/>
    <s v="No"/>
    <n v="0"/>
    <n v="0"/>
    <n v="5"/>
  </r>
  <r>
    <x v="66"/>
    <s v="Fábio Nobre"/>
    <x v="0"/>
    <d v="2024-05-02T00:00:00"/>
    <x v="0"/>
    <n v="15"/>
    <x v="2"/>
    <s v="Yes"/>
    <x v="0"/>
    <s v="Yes"/>
    <n v="20"/>
    <n v="7"/>
    <n v="58"/>
  </r>
  <r>
    <x v="67"/>
    <s v="Gabriel Oliveira"/>
    <x v="2"/>
    <d v="2024-05-03T00:00:00"/>
    <x v="1"/>
    <n v="10"/>
    <x v="1"/>
    <s v="No"/>
    <x v="1"/>
    <s v="Yes"/>
    <n v="20"/>
    <n v="10"/>
    <n v="20"/>
  </r>
  <r>
    <x v="68"/>
    <s v="Helena Santos"/>
    <x v="1"/>
    <d v="2024-05-04T00:00:00"/>
    <x v="0"/>
    <n v="5"/>
    <x v="2"/>
    <s v="No"/>
    <x v="1"/>
    <s v="No"/>
    <n v="0"/>
    <n v="1"/>
    <n v="4"/>
  </r>
  <r>
    <x v="69"/>
    <s v="Ivan Carvalho"/>
    <x v="0"/>
    <d v="2024-05-05T00:00:00"/>
    <x v="1"/>
    <n v="15"/>
    <x v="0"/>
    <s v="Yes"/>
    <x v="0"/>
    <s v="Yes"/>
    <n v="20"/>
    <n v="15"/>
    <n v="50"/>
  </r>
  <r>
    <x v="70"/>
    <s v="Júlia Ferreira"/>
    <x v="2"/>
    <d v="2024-05-06T00:00:00"/>
    <x v="0"/>
    <n v="10"/>
    <x v="0"/>
    <s v="No"/>
    <x v="1"/>
    <s v="Yes"/>
    <n v="20"/>
    <n v="5"/>
    <n v="25"/>
  </r>
  <r>
    <x v="71"/>
    <s v="Karla Alves"/>
    <x v="1"/>
    <d v="2024-05-07T00:00:00"/>
    <x v="1"/>
    <n v="5"/>
    <x v="1"/>
    <s v="No"/>
    <x v="1"/>
    <s v="No"/>
    <n v="0"/>
    <n v="0"/>
    <n v="5"/>
  </r>
  <r>
    <x v="72"/>
    <s v="Lucas Mendes"/>
    <x v="0"/>
    <d v="2024-05-08T00:00:00"/>
    <x v="0"/>
    <n v="15"/>
    <x v="2"/>
    <s v="Yes"/>
    <x v="0"/>
    <s v="Yes"/>
    <n v="20"/>
    <n v="20"/>
    <n v="45"/>
  </r>
  <r>
    <x v="73"/>
    <s v="Mônica Gomes"/>
    <x v="2"/>
    <d v="2024-05-09T00:00:00"/>
    <x v="1"/>
    <n v="10"/>
    <x v="2"/>
    <s v="No"/>
    <x v="1"/>
    <s v="Yes"/>
    <n v="20"/>
    <n v="12"/>
    <n v="18"/>
  </r>
  <r>
    <x v="74"/>
    <s v="Norberto Queiroz"/>
    <x v="1"/>
    <d v="2024-05-10T00:00:00"/>
    <x v="0"/>
    <n v="5"/>
    <x v="0"/>
    <s v="No"/>
    <x v="1"/>
    <s v="No"/>
    <n v="0"/>
    <n v="2"/>
    <n v="3"/>
  </r>
  <r>
    <x v="75"/>
    <s v="Otávio Barros"/>
    <x v="0"/>
    <d v="2024-05-11T00:00:00"/>
    <x v="1"/>
    <n v="15"/>
    <x v="1"/>
    <s v="Yes"/>
    <x v="0"/>
    <s v="Yes"/>
    <n v="20"/>
    <n v="5"/>
    <n v="60"/>
  </r>
  <r>
    <x v="76"/>
    <s v="Paula Vieira"/>
    <x v="2"/>
    <d v="2024-05-12T00:00:00"/>
    <x v="0"/>
    <n v="10"/>
    <x v="0"/>
    <s v="No"/>
    <x v="1"/>
    <s v="Yes"/>
    <n v="20"/>
    <n v="10"/>
    <n v="20"/>
  </r>
  <r>
    <x v="77"/>
    <s v="Quentin Ramos"/>
    <x v="1"/>
    <d v="2024-05-13T00:00:00"/>
    <x v="1"/>
    <n v="5"/>
    <x v="2"/>
    <s v="No"/>
    <x v="1"/>
    <s v="No"/>
    <n v="0"/>
    <n v="0"/>
    <n v="5"/>
  </r>
  <r>
    <x v="78"/>
    <s v="Raquel Novaes"/>
    <x v="0"/>
    <d v="2024-05-14T00:00:00"/>
    <x v="0"/>
    <n v="15"/>
    <x v="0"/>
    <s v="Yes"/>
    <x v="0"/>
    <s v="Yes"/>
    <n v="20"/>
    <n v="3"/>
    <n v="62"/>
  </r>
  <r>
    <x v="79"/>
    <s v="Samantha Lopes"/>
    <x v="2"/>
    <d v="2024-05-15T00:00:00"/>
    <x v="1"/>
    <n v="10"/>
    <x v="1"/>
    <s v="No"/>
    <x v="1"/>
    <s v="Yes"/>
    <n v="20"/>
    <n v="15"/>
    <n v="15"/>
  </r>
  <r>
    <x v="80"/>
    <s v="Tiago Martins"/>
    <x v="1"/>
    <d v="2024-05-16T00:00:00"/>
    <x v="0"/>
    <n v="5"/>
    <x v="0"/>
    <s v="No"/>
    <x v="1"/>
    <s v="No"/>
    <n v="0"/>
    <n v="1"/>
    <n v="4"/>
  </r>
  <r>
    <x v="81"/>
    <s v="Ulysses Guimarães"/>
    <x v="0"/>
    <d v="2024-05-17T00:00:00"/>
    <x v="1"/>
    <n v="15"/>
    <x v="2"/>
    <s v="Yes"/>
    <x v="0"/>
    <s v="Yes"/>
    <n v="20"/>
    <n v="7"/>
    <n v="58"/>
  </r>
  <r>
    <x v="82"/>
    <s v="Vanessa Silva"/>
    <x v="2"/>
    <d v="2024-05-18T00:00:00"/>
    <x v="0"/>
    <n v="10"/>
    <x v="0"/>
    <s v="No"/>
    <x v="1"/>
    <s v="Yes"/>
    <n v="20"/>
    <n v="10"/>
    <n v="20"/>
  </r>
  <r>
    <x v="83"/>
    <s v="William Carneiro"/>
    <x v="1"/>
    <d v="2024-05-19T00:00:00"/>
    <x v="1"/>
    <n v="5"/>
    <x v="1"/>
    <s v="No"/>
    <x v="1"/>
    <s v="No"/>
    <n v="0"/>
    <n v="0"/>
    <n v="5"/>
  </r>
  <r>
    <x v="84"/>
    <s v="Ximena Rocha"/>
    <x v="0"/>
    <d v="2024-05-20T00:00:00"/>
    <x v="0"/>
    <n v="15"/>
    <x v="0"/>
    <s v="Yes"/>
    <x v="0"/>
    <s v="Yes"/>
    <n v="20"/>
    <n v="20"/>
    <n v="45"/>
  </r>
  <r>
    <x v="85"/>
    <s v="Yasmin Figueiredo"/>
    <x v="2"/>
    <d v="2024-05-21T00:00:00"/>
    <x v="1"/>
    <n v="10"/>
    <x v="2"/>
    <s v="No"/>
    <x v="1"/>
    <s v="Yes"/>
    <n v="20"/>
    <n v="15"/>
    <n v="15"/>
  </r>
  <r>
    <x v="86"/>
    <s v="Zara Cunha"/>
    <x v="1"/>
    <d v="2024-05-22T00:00:00"/>
    <x v="0"/>
    <n v="5"/>
    <x v="0"/>
    <s v="No"/>
    <x v="1"/>
    <s v="No"/>
    <n v="0"/>
    <n v="1"/>
    <n v="4"/>
  </r>
  <r>
    <x v="87"/>
    <s v="Alan Teixeira"/>
    <x v="0"/>
    <d v="2024-05-23T00:00:00"/>
    <x v="1"/>
    <n v="15"/>
    <x v="1"/>
    <s v="Yes"/>
    <x v="0"/>
    <s v="Yes"/>
    <n v="20"/>
    <n v="3"/>
    <n v="62"/>
  </r>
  <r>
    <x v="88"/>
    <s v="Bárbara Oliveira"/>
    <x v="2"/>
    <d v="2024-05-24T00:00:00"/>
    <x v="0"/>
    <n v="10"/>
    <x v="0"/>
    <s v="No"/>
    <x v="1"/>
    <s v="Yes"/>
    <n v="20"/>
    <n v="10"/>
    <n v="20"/>
  </r>
  <r>
    <x v="89"/>
    <s v="Carlos Junqueira"/>
    <x v="1"/>
    <d v="2024-05-25T00:00:00"/>
    <x v="1"/>
    <n v="5"/>
    <x v="2"/>
    <s v="No"/>
    <x v="1"/>
    <s v="No"/>
    <n v="0"/>
    <n v="0"/>
    <n v="5"/>
  </r>
  <r>
    <x v="90"/>
    <s v="Daniela Moura"/>
    <x v="0"/>
    <d v="2024-05-26T00:00:00"/>
    <x v="0"/>
    <n v="15"/>
    <x v="0"/>
    <s v="Yes"/>
    <x v="0"/>
    <s v="Yes"/>
    <n v="20"/>
    <n v="5"/>
    <n v="60"/>
  </r>
  <r>
    <x v="91"/>
    <s v="Eduardo Lima"/>
    <x v="2"/>
    <d v="2024-05-27T00:00:00"/>
    <x v="1"/>
    <n v="10"/>
    <x v="1"/>
    <s v="No"/>
    <x v="1"/>
    <s v="Yes"/>
    <n v="20"/>
    <n v="15"/>
    <n v="15"/>
  </r>
  <r>
    <x v="92"/>
    <s v="Fabiana Araújo"/>
    <x v="1"/>
    <d v="2024-05-28T00:00:00"/>
    <x v="0"/>
    <n v="5"/>
    <x v="0"/>
    <s v="No"/>
    <x v="1"/>
    <s v="No"/>
    <n v="0"/>
    <n v="1"/>
    <n v="4"/>
  </r>
  <r>
    <x v="93"/>
    <s v="Geraldo Ribeiro"/>
    <x v="0"/>
    <d v="2024-05-29T00:00:00"/>
    <x v="1"/>
    <n v="15"/>
    <x v="2"/>
    <s v="Yes"/>
    <x v="0"/>
    <s v="Yes"/>
    <n v="20"/>
    <n v="20"/>
    <n v="45"/>
  </r>
  <r>
    <x v="94"/>
    <s v="Héctor Vargas"/>
    <x v="2"/>
    <d v="2024-05-30T00:00:00"/>
    <x v="0"/>
    <n v="10"/>
    <x v="2"/>
    <s v="No"/>
    <x v="1"/>
    <s v="Yes"/>
    <n v="20"/>
    <n v="15"/>
    <n v="15"/>
  </r>
  <r>
    <x v="95"/>
    <s v="Isabela Fonseca"/>
    <x v="1"/>
    <d v="2024-05-31T00:00:00"/>
    <x v="1"/>
    <n v="5"/>
    <x v="1"/>
    <s v="No"/>
    <x v="1"/>
    <s v="No"/>
    <n v="0"/>
    <n v="0"/>
    <n v="5"/>
  </r>
  <r>
    <x v="96"/>
    <s v="João Pedro Almeida"/>
    <x v="0"/>
    <d v="2024-06-01T00:00:00"/>
    <x v="0"/>
    <n v="15"/>
    <x v="0"/>
    <s v="Yes"/>
    <x v="0"/>
    <s v="Yes"/>
    <n v="20"/>
    <n v="7"/>
    <n v="58"/>
  </r>
  <r>
    <x v="97"/>
    <s v="Klara Costa"/>
    <x v="2"/>
    <d v="2024-06-02T00:00:00"/>
    <x v="1"/>
    <n v="10"/>
    <x v="1"/>
    <s v="No"/>
    <x v="1"/>
    <s v="Yes"/>
    <n v="20"/>
    <n v="10"/>
    <n v="20"/>
  </r>
  <r>
    <x v="98"/>
    <s v="Luciana Mendes"/>
    <x v="1"/>
    <d v="2024-06-03T00:00:00"/>
    <x v="0"/>
    <n v="5"/>
    <x v="2"/>
    <s v="No"/>
    <x v="1"/>
    <s v="No"/>
    <n v="0"/>
    <n v="1"/>
    <n v="4"/>
  </r>
  <r>
    <x v="99"/>
    <s v="Marcelo Gouveia"/>
    <x v="0"/>
    <d v="2024-06-04T00:00:00"/>
    <x v="1"/>
    <n v="15"/>
    <x v="0"/>
    <s v="Yes"/>
    <x v="0"/>
    <s v="Yes"/>
    <n v="20"/>
    <n v="15"/>
    <n v="50"/>
  </r>
  <r>
    <x v="100"/>
    <s v="Nívea Borges"/>
    <x v="2"/>
    <d v="2024-06-05T00:00:00"/>
    <x v="0"/>
    <n v="10"/>
    <x v="0"/>
    <s v="No"/>
    <x v="1"/>
    <s v="Yes"/>
    <n v="20"/>
    <n v="5"/>
    <n v="25"/>
  </r>
  <r>
    <x v="101"/>
    <s v="Oscar Nogueira"/>
    <x v="1"/>
    <d v="2024-06-06T00:00:00"/>
    <x v="1"/>
    <n v="5"/>
    <x v="1"/>
    <s v="No"/>
    <x v="1"/>
    <s v="No"/>
    <n v="0"/>
    <n v="0"/>
    <n v="5"/>
  </r>
  <r>
    <x v="102"/>
    <s v="Patrícia Alves"/>
    <x v="0"/>
    <d v="2024-06-07T00:00:00"/>
    <x v="0"/>
    <n v="15"/>
    <x v="2"/>
    <s v="Yes"/>
    <x v="0"/>
    <s v="Yes"/>
    <n v="20"/>
    <n v="20"/>
    <n v="45"/>
  </r>
  <r>
    <x v="103"/>
    <s v="Rafaela Silva"/>
    <x v="2"/>
    <d v="2024-06-08T00:00:00"/>
    <x v="1"/>
    <n v="10"/>
    <x v="2"/>
    <s v="No"/>
    <x v="1"/>
    <s v="Yes"/>
    <n v="20"/>
    <n v="12"/>
    <n v="18"/>
  </r>
  <r>
    <x v="104"/>
    <s v="Samantha Moraes"/>
    <x v="1"/>
    <d v="2024-06-09T00:00:00"/>
    <x v="0"/>
    <n v="5"/>
    <x v="0"/>
    <s v="No"/>
    <x v="1"/>
    <s v="No"/>
    <n v="0"/>
    <n v="2"/>
    <n v="3"/>
  </r>
  <r>
    <x v="105"/>
    <s v="Tatiana Rocha"/>
    <x v="1"/>
    <d v="2024-06-10T00:00:00"/>
    <x v="0"/>
    <n v="5"/>
    <x v="0"/>
    <s v="No"/>
    <x v="1"/>
    <s v="No"/>
    <n v="0"/>
    <n v="0"/>
    <n v="5"/>
  </r>
  <r>
    <x v="106"/>
    <s v="Ulisses Tavares"/>
    <x v="0"/>
    <d v="2024-06-11T00:00:00"/>
    <x v="1"/>
    <n v="15"/>
    <x v="2"/>
    <s v="Yes"/>
    <x v="0"/>
    <s v="Yes"/>
    <n v="20"/>
    <n v="7"/>
    <n v="58"/>
  </r>
  <r>
    <x v="107"/>
    <s v="Víctor Lemos"/>
    <x v="2"/>
    <d v="2024-06-12T00:00:00"/>
    <x v="0"/>
    <n v="10"/>
    <x v="1"/>
    <s v="No"/>
    <x v="1"/>
    <s v="Yes"/>
    <n v="20"/>
    <n v="10"/>
    <n v="20"/>
  </r>
  <r>
    <x v="108"/>
    <s v="Wilma Barros"/>
    <x v="1"/>
    <d v="2024-06-13T00:00:00"/>
    <x v="1"/>
    <n v="5"/>
    <x v="2"/>
    <s v="No"/>
    <x v="1"/>
    <s v="No"/>
    <n v="0"/>
    <n v="1"/>
    <n v="4"/>
  </r>
  <r>
    <x v="109"/>
    <s v="Xavier Nascimento"/>
    <x v="0"/>
    <d v="2024-06-14T00:00:00"/>
    <x v="0"/>
    <n v="15"/>
    <x v="0"/>
    <s v="Yes"/>
    <x v="0"/>
    <s v="Yes"/>
    <n v="20"/>
    <n v="15"/>
    <n v="50"/>
  </r>
  <r>
    <x v="110"/>
    <s v="Yago Pereira"/>
    <x v="2"/>
    <d v="2024-06-15T00:00:00"/>
    <x v="1"/>
    <n v="10"/>
    <x v="0"/>
    <s v="No"/>
    <x v="1"/>
    <s v="Yes"/>
    <n v="20"/>
    <n v="5"/>
    <n v="25"/>
  </r>
  <r>
    <x v="111"/>
    <s v="Zilda Ferreira"/>
    <x v="1"/>
    <d v="2024-06-16T00:00:00"/>
    <x v="0"/>
    <n v="5"/>
    <x v="1"/>
    <s v="No"/>
    <x v="1"/>
    <s v="No"/>
    <n v="0"/>
    <n v="0"/>
    <n v="5"/>
  </r>
  <r>
    <x v="112"/>
    <s v="Amanda Lopes"/>
    <x v="0"/>
    <d v="2024-06-17T00:00:00"/>
    <x v="1"/>
    <n v="15"/>
    <x v="2"/>
    <s v="Yes"/>
    <x v="0"/>
    <s v="Yes"/>
    <n v="20"/>
    <n v="20"/>
    <n v="45"/>
  </r>
  <r>
    <x v="113"/>
    <s v="Bruno Miranda"/>
    <x v="2"/>
    <d v="2024-06-18T00:00:00"/>
    <x v="0"/>
    <n v="10"/>
    <x v="2"/>
    <s v="No"/>
    <x v="1"/>
    <s v="Yes"/>
    <n v="20"/>
    <n v="12"/>
    <n v="18"/>
  </r>
  <r>
    <x v="114"/>
    <s v="Célia Torres"/>
    <x v="1"/>
    <d v="2024-06-19T00:00:00"/>
    <x v="1"/>
    <n v="5"/>
    <x v="0"/>
    <s v="No"/>
    <x v="1"/>
    <s v="No"/>
    <n v="0"/>
    <n v="2"/>
    <n v="3"/>
  </r>
  <r>
    <x v="115"/>
    <s v="Diogo Souza"/>
    <x v="0"/>
    <d v="2024-06-20T00:00:00"/>
    <x v="0"/>
    <n v="15"/>
    <x v="1"/>
    <s v="Yes"/>
    <x v="0"/>
    <s v="Yes"/>
    <n v="20"/>
    <n v="5"/>
    <n v="60"/>
  </r>
  <r>
    <x v="116"/>
    <s v="Elisa Castro"/>
    <x v="2"/>
    <d v="2024-06-21T00:00:00"/>
    <x v="1"/>
    <n v="10"/>
    <x v="0"/>
    <s v="No"/>
    <x v="1"/>
    <s v="Yes"/>
    <n v="20"/>
    <n v="10"/>
    <n v="20"/>
  </r>
  <r>
    <x v="117"/>
    <s v="Fátima Lima"/>
    <x v="1"/>
    <d v="2024-06-22T00:00:00"/>
    <x v="0"/>
    <n v="5"/>
    <x v="2"/>
    <s v="No"/>
    <x v="1"/>
    <s v="No"/>
    <n v="0"/>
    <n v="0"/>
    <n v="5"/>
  </r>
  <r>
    <x v="118"/>
    <s v="Geraldo Ribeiro"/>
    <x v="0"/>
    <d v="2024-06-23T00:00:00"/>
    <x v="1"/>
    <n v="15"/>
    <x v="0"/>
    <s v="Yes"/>
    <x v="0"/>
    <s v="Yes"/>
    <n v="20"/>
    <n v="3"/>
    <n v="62"/>
  </r>
  <r>
    <x v="119"/>
    <s v="Hélio Martins"/>
    <x v="2"/>
    <d v="2024-06-24T00:00:00"/>
    <x v="0"/>
    <n v="10"/>
    <x v="1"/>
    <s v="No"/>
    <x v="1"/>
    <s v="Yes"/>
    <n v="20"/>
    <n v="15"/>
    <n v="15"/>
  </r>
  <r>
    <x v="120"/>
    <s v="Íris Santos"/>
    <x v="1"/>
    <d v="2024-06-25T00:00:00"/>
    <x v="1"/>
    <n v="5"/>
    <x v="0"/>
    <s v="No"/>
    <x v="1"/>
    <s v="No"/>
    <n v="0"/>
    <n v="1"/>
    <n v="4"/>
  </r>
  <r>
    <x v="121"/>
    <s v="João Marcelo"/>
    <x v="0"/>
    <d v="2024-06-26T00:00:00"/>
    <x v="0"/>
    <n v="15"/>
    <x v="2"/>
    <s v="Yes"/>
    <x v="0"/>
    <s v="Yes"/>
    <n v="20"/>
    <n v="7"/>
    <n v="58"/>
  </r>
  <r>
    <x v="122"/>
    <s v="Larissa Gomes"/>
    <x v="2"/>
    <d v="2024-06-27T00:00:00"/>
    <x v="1"/>
    <n v="10"/>
    <x v="0"/>
    <s v="No"/>
    <x v="1"/>
    <s v="Yes"/>
    <n v="20"/>
    <n v="10"/>
    <n v="20"/>
  </r>
  <r>
    <x v="123"/>
    <s v="Márcio Silva"/>
    <x v="1"/>
    <d v="2024-06-28T00:00:00"/>
    <x v="0"/>
    <n v="5"/>
    <x v="1"/>
    <s v="No"/>
    <x v="1"/>
    <s v="No"/>
    <n v="0"/>
    <n v="0"/>
    <n v="5"/>
  </r>
  <r>
    <x v="124"/>
    <s v="Nadia Costa"/>
    <x v="0"/>
    <d v="2024-06-29T00:00:00"/>
    <x v="1"/>
    <n v="15"/>
    <x v="0"/>
    <s v="Yes"/>
    <x v="0"/>
    <s v="Yes"/>
    <n v="20"/>
    <n v="20"/>
    <n v="45"/>
  </r>
  <r>
    <x v="125"/>
    <s v="Oscar Almeida"/>
    <x v="2"/>
    <d v="2024-06-30T00:00:00"/>
    <x v="0"/>
    <n v="10"/>
    <x v="2"/>
    <s v="No"/>
    <x v="1"/>
    <s v="Yes"/>
    <n v="20"/>
    <n v="15"/>
    <n v="15"/>
  </r>
  <r>
    <x v="126"/>
    <s v="Patricia Soares"/>
    <x v="1"/>
    <d v="2024-07-01T00:00:00"/>
    <x v="1"/>
    <n v="5"/>
    <x v="0"/>
    <s v="No"/>
    <x v="1"/>
    <s v="No"/>
    <n v="0"/>
    <n v="1"/>
    <n v="4"/>
  </r>
  <r>
    <x v="127"/>
    <s v="Quênia Barros"/>
    <x v="0"/>
    <d v="2024-07-02T00:00:00"/>
    <x v="0"/>
    <n v="15"/>
    <x v="1"/>
    <s v="Yes"/>
    <x v="0"/>
    <s v="Yes"/>
    <n v="20"/>
    <n v="3"/>
    <n v="62"/>
  </r>
  <r>
    <x v="128"/>
    <s v="Rafael Torres"/>
    <x v="2"/>
    <d v="2024-07-03T00:00:00"/>
    <x v="1"/>
    <n v="10"/>
    <x v="0"/>
    <s v="No"/>
    <x v="1"/>
    <s v="Yes"/>
    <n v="20"/>
    <n v="10"/>
    <n v="20"/>
  </r>
  <r>
    <x v="129"/>
    <s v="Silvia Nascimento"/>
    <x v="1"/>
    <d v="2024-07-04T00:00:00"/>
    <x v="0"/>
    <n v="5"/>
    <x v="2"/>
    <s v="No"/>
    <x v="1"/>
    <s v="No"/>
    <n v="0"/>
    <n v="0"/>
    <n v="5"/>
  </r>
  <r>
    <x v="130"/>
    <s v="Tiago Mendes"/>
    <x v="0"/>
    <d v="2024-07-05T00:00:00"/>
    <x v="1"/>
    <n v="15"/>
    <x v="0"/>
    <s v="Yes"/>
    <x v="0"/>
    <s v="Yes"/>
    <n v="20"/>
    <n v="15"/>
    <n v="50"/>
  </r>
  <r>
    <x v="131"/>
    <s v="Ursula Silva"/>
    <x v="2"/>
    <d v="2024-07-06T00:00:00"/>
    <x v="0"/>
    <n v="10"/>
    <x v="1"/>
    <s v="No"/>
    <x v="1"/>
    <s v="Yes"/>
    <n v="20"/>
    <n v="15"/>
    <n v="15"/>
  </r>
  <r>
    <x v="132"/>
    <s v="Vanessa Moraes"/>
    <x v="1"/>
    <d v="2024-07-07T00:00:00"/>
    <x v="1"/>
    <n v="5"/>
    <x v="0"/>
    <s v="No"/>
    <x v="1"/>
    <s v="No"/>
    <n v="0"/>
    <n v="1"/>
    <n v="4"/>
  </r>
  <r>
    <x v="133"/>
    <s v="Waldir Junior"/>
    <x v="0"/>
    <d v="2024-07-08T00:00:00"/>
    <x v="0"/>
    <n v="15"/>
    <x v="2"/>
    <s v="Yes"/>
    <x v="0"/>
    <s v="Yes"/>
    <n v="20"/>
    <n v="7"/>
    <n v="58"/>
  </r>
  <r>
    <x v="134"/>
    <s v="Xavier Lopes"/>
    <x v="2"/>
    <d v="2024-07-09T00:00:00"/>
    <x v="1"/>
    <n v="10"/>
    <x v="0"/>
    <s v="No"/>
    <x v="1"/>
    <s v="Yes"/>
    <n v="20"/>
    <n v="10"/>
    <n v="20"/>
  </r>
  <r>
    <x v="135"/>
    <s v="Yolanda Freitas"/>
    <x v="1"/>
    <d v="2024-07-10T00:00:00"/>
    <x v="0"/>
    <n v="5"/>
    <x v="0"/>
    <s v="No"/>
    <x v="1"/>
    <s v="No"/>
    <n v="0"/>
    <n v="0"/>
    <n v="5"/>
  </r>
  <r>
    <x v="136"/>
    <s v="Zacarias Nunes"/>
    <x v="0"/>
    <d v="2024-07-11T00:00:00"/>
    <x v="1"/>
    <n v="15"/>
    <x v="2"/>
    <s v="Yes"/>
    <x v="0"/>
    <s v="Yes"/>
    <n v="20"/>
    <n v="7"/>
    <n v="58"/>
  </r>
  <r>
    <x v="137"/>
    <s v="Ana Clara Barreto"/>
    <x v="2"/>
    <d v="2024-07-12T00:00:00"/>
    <x v="0"/>
    <n v="10"/>
    <x v="1"/>
    <s v="No"/>
    <x v="1"/>
    <s v="Yes"/>
    <n v="20"/>
    <n v="10"/>
    <n v="20"/>
  </r>
  <r>
    <x v="138"/>
    <s v="Bruno Henrique"/>
    <x v="1"/>
    <d v="2024-07-13T00:00:00"/>
    <x v="1"/>
    <n v="5"/>
    <x v="2"/>
    <s v="No"/>
    <x v="1"/>
    <s v="No"/>
    <n v="0"/>
    <n v="1"/>
    <n v="4"/>
  </r>
  <r>
    <x v="139"/>
    <s v="Carlos Eduardo"/>
    <x v="0"/>
    <d v="2024-07-14T00:00:00"/>
    <x v="0"/>
    <n v="15"/>
    <x v="0"/>
    <s v="Yes"/>
    <x v="0"/>
    <s v="Yes"/>
    <n v="20"/>
    <n v="15"/>
    <n v="50"/>
  </r>
  <r>
    <x v="140"/>
    <s v="Débora Lima"/>
    <x v="2"/>
    <d v="2024-07-15T00:00:00"/>
    <x v="1"/>
    <n v="10"/>
    <x v="0"/>
    <s v="No"/>
    <x v="1"/>
    <s v="Yes"/>
    <n v="20"/>
    <n v="5"/>
    <n v="25"/>
  </r>
  <r>
    <x v="141"/>
    <s v="Elisa Neves"/>
    <x v="1"/>
    <d v="2024-07-16T00:00:00"/>
    <x v="0"/>
    <n v="5"/>
    <x v="1"/>
    <s v="No"/>
    <x v="1"/>
    <s v="No"/>
    <n v="0"/>
    <n v="0"/>
    <n v="5"/>
  </r>
  <r>
    <x v="142"/>
    <s v="Fabiano Gomes"/>
    <x v="0"/>
    <d v="2024-07-17T00:00:00"/>
    <x v="1"/>
    <n v="15"/>
    <x v="2"/>
    <s v="Yes"/>
    <x v="0"/>
    <s v="Yes"/>
    <n v="20"/>
    <n v="20"/>
    <n v="45"/>
  </r>
  <r>
    <x v="143"/>
    <s v="Gisele Oliveira"/>
    <x v="2"/>
    <d v="2024-07-18T00:00:00"/>
    <x v="0"/>
    <n v="10"/>
    <x v="2"/>
    <s v="No"/>
    <x v="1"/>
    <s v="Yes"/>
    <n v="20"/>
    <n v="12"/>
    <n v="18"/>
  </r>
  <r>
    <x v="144"/>
    <s v="Héctor Silva"/>
    <x v="1"/>
    <d v="2024-07-19T00:00:00"/>
    <x v="1"/>
    <n v="5"/>
    <x v="0"/>
    <s v="No"/>
    <x v="1"/>
    <s v="No"/>
    <n v="0"/>
    <n v="2"/>
    <n v="3"/>
  </r>
  <r>
    <x v="145"/>
    <s v="Igor Martins"/>
    <x v="0"/>
    <d v="2024-07-20T00:00:00"/>
    <x v="0"/>
    <n v="15"/>
    <x v="1"/>
    <s v="Yes"/>
    <x v="0"/>
    <s v="Yes"/>
    <n v="20"/>
    <n v="5"/>
    <n v="60"/>
  </r>
  <r>
    <x v="146"/>
    <s v="Joana Figueiredo"/>
    <x v="2"/>
    <d v="2024-07-21T00:00:00"/>
    <x v="1"/>
    <n v="10"/>
    <x v="0"/>
    <s v="No"/>
    <x v="1"/>
    <s v="Yes"/>
    <n v="20"/>
    <n v="10"/>
    <n v="20"/>
  </r>
  <r>
    <x v="147"/>
    <s v="Kleber Machado"/>
    <x v="1"/>
    <d v="2024-07-22T00:00:00"/>
    <x v="0"/>
    <n v="5"/>
    <x v="2"/>
    <s v="No"/>
    <x v="1"/>
    <s v="No"/>
    <n v="0"/>
    <n v="0"/>
    <n v="5"/>
  </r>
  <r>
    <x v="148"/>
    <s v="Luciana Santos"/>
    <x v="0"/>
    <d v="2024-07-23T00:00:00"/>
    <x v="1"/>
    <n v="15"/>
    <x v="0"/>
    <s v="Yes"/>
    <x v="0"/>
    <s v="Yes"/>
    <n v="20"/>
    <n v="3"/>
    <n v="62"/>
  </r>
  <r>
    <x v="149"/>
    <s v="Marcos Teixeira"/>
    <x v="2"/>
    <d v="2024-07-24T00:00:00"/>
    <x v="0"/>
    <n v="10"/>
    <x v="1"/>
    <s v="No"/>
    <x v="1"/>
    <s v="Yes"/>
    <n v="20"/>
    <n v="15"/>
    <n v="15"/>
  </r>
  <r>
    <x v="150"/>
    <s v="Natalia Costa"/>
    <x v="1"/>
    <d v="2024-07-25T00:00:00"/>
    <x v="1"/>
    <n v="5"/>
    <x v="0"/>
    <s v="No"/>
    <x v="1"/>
    <s v="No"/>
    <n v="0"/>
    <n v="1"/>
    <n v="4"/>
  </r>
  <r>
    <x v="151"/>
    <s v="Oscar Ribeiro"/>
    <x v="0"/>
    <d v="2024-07-26T00:00:00"/>
    <x v="0"/>
    <n v="15"/>
    <x v="2"/>
    <s v="Yes"/>
    <x v="0"/>
    <s v="Yes"/>
    <n v="20"/>
    <n v="7"/>
    <n v="58"/>
  </r>
  <r>
    <x v="152"/>
    <s v="Patricia Almeida"/>
    <x v="2"/>
    <d v="2024-07-27T00:00:00"/>
    <x v="1"/>
    <n v="10"/>
    <x v="0"/>
    <s v="No"/>
    <x v="1"/>
    <s v="Yes"/>
    <n v="20"/>
    <n v="10"/>
    <n v="20"/>
  </r>
  <r>
    <x v="153"/>
    <s v="Quirino Junior"/>
    <x v="1"/>
    <d v="2024-07-28T00:00:00"/>
    <x v="0"/>
    <n v="5"/>
    <x v="1"/>
    <s v="No"/>
    <x v="1"/>
    <s v="No"/>
    <n v="0"/>
    <n v="0"/>
    <n v="5"/>
  </r>
  <r>
    <x v="154"/>
    <s v="Renata Machado"/>
    <x v="0"/>
    <d v="2024-07-29T00:00:00"/>
    <x v="1"/>
    <n v="15"/>
    <x v="0"/>
    <s v="Yes"/>
    <x v="0"/>
    <s v="Yes"/>
    <n v="20"/>
    <n v="20"/>
    <n v="45"/>
  </r>
  <r>
    <x v="155"/>
    <s v="Sônia Alves"/>
    <x v="2"/>
    <d v="2024-07-30T00:00:00"/>
    <x v="0"/>
    <n v="10"/>
    <x v="2"/>
    <s v="No"/>
    <x v="1"/>
    <s v="Yes"/>
    <n v="20"/>
    <n v="15"/>
    <n v="15"/>
  </r>
  <r>
    <x v="156"/>
    <s v="Tiago Nunes"/>
    <x v="1"/>
    <d v="2024-07-31T00:00:00"/>
    <x v="1"/>
    <n v="5"/>
    <x v="0"/>
    <s v="No"/>
    <x v="1"/>
    <s v="No"/>
    <n v="0"/>
    <n v="1"/>
    <n v="4"/>
  </r>
  <r>
    <x v="157"/>
    <s v="Ulysses Pereira"/>
    <x v="0"/>
    <d v="2024-08-01T00:00:00"/>
    <x v="0"/>
    <n v="15"/>
    <x v="1"/>
    <s v="Yes"/>
    <x v="0"/>
    <s v="Yes"/>
    <n v="20"/>
    <n v="3"/>
    <n v="62"/>
  </r>
  <r>
    <x v="158"/>
    <s v="Vanessa Lima"/>
    <x v="2"/>
    <d v="2024-08-02T00:00:00"/>
    <x v="1"/>
    <n v="10"/>
    <x v="0"/>
    <s v="No"/>
    <x v="1"/>
    <s v="Yes"/>
    <n v="20"/>
    <n v="10"/>
    <n v="20"/>
  </r>
  <r>
    <x v="159"/>
    <s v="Wagner Santos"/>
    <x v="1"/>
    <d v="2024-08-03T00:00:00"/>
    <x v="0"/>
    <n v="5"/>
    <x v="2"/>
    <s v="No"/>
    <x v="1"/>
    <s v="No"/>
    <n v="0"/>
    <n v="0"/>
    <n v="5"/>
  </r>
  <r>
    <x v="160"/>
    <s v="Xuxa Meneghel"/>
    <x v="0"/>
    <d v="2024-08-04T00:00:00"/>
    <x v="1"/>
    <n v="15"/>
    <x v="0"/>
    <s v="Yes"/>
    <x v="0"/>
    <s v="Yes"/>
    <n v="20"/>
    <n v="15"/>
    <n v="50"/>
  </r>
  <r>
    <x v="161"/>
    <s v="Yasmin Silva"/>
    <x v="2"/>
    <d v="2024-08-05T00:00:00"/>
    <x v="0"/>
    <n v="10"/>
    <x v="1"/>
    <s v="No"/>
    <x v="1"/>
    <s v="Yes"/>
    <n v="20"/>
    <n v="15"/>
    <n v="15"/>
  </r>
  <r>
    <x v="162"/>
    <s v="Zacarias de Souza"/>
    <x v="1"/>
    <d v="2024-08-06T00:00:00"/>
    <x v="1"/>
    <n v="5"/>
    <x v="0"/>
    <s v="No"/>
    <x v="1"/>
    <s v="No"/>
    <n v="0"/>
    <n v="1"/>
    <n v="4"/>
  </r>
  <r>
    <x v="163"/>
    <s v="André Lima"/>
    <x v="0"/>
    <d v="2024-08-07T00:00:00"/>
    <x v="0"/>
    <n v="15"/>
    <x v="2"/>
    <s v="Yes"/>
    <x v="0"/>
    <s v="Yes"/>
    <n v="20"/>
    <n v="7"/>
    <n v="58"/>
  </r>
  <r>
    <x v="164"/>
    <s v="Bianca Freitas"/>
    <x v="2"/>
    <d v="2024-08-08T00:00:00"/>
    <x v="1"/>
    <n v="10"/>
    <x v="0"/>
    <s v="No"/>
    <x v="1"/>
    <s v="Yes"/>
    <n v="20"/>
    <n v="10"/>
    <n v="20"/>
  </r>
  <r>
    <x v="165"/>
    <s v="Caio Mendes"/>
    <x v="1"/>
    <d v="2024-08-09T00:00:00"/>
    <x v="0"/>
    <n v="5"/>
    <x v="1"/>
    <s v="No"/>
    <x v="1"/>
    <s v="No"/>
    <n v="0"/>
    <n v="0"/>
    <n v="5"/>
  </r>
  <r>
    <x v="166"/>
    <s v="Daniela Moura"/>
    <x v="0"/>
    <d v="2024-08-10T00:00:00"/>
    <x v="1"/>
    <n v="15"/>
    <x v="0"/>
    <s v="Yes"/>
    <x v="0"/>
    <s v="Yes"/>
    <n v="20"/>
    <n v="20"/>
    <n v="45"/>
  </r>
  <r>
    <x v="167"/>
    <s v="Eduardo Costa"/>
    <x v="2"/>
    <d v="2024-08-11T00:00:00"/>
    <x v="0"/>
    <n v="10"/>
    <x v="2"/>
    <s v="No"/>
    <x v="1"/>
    <s v="Yes"/>
    <n v="20"/>
    <n v="15"/>
    <n v="15"/>
  </r>
  <r>
    <x v="168"/>
    <s v="Fernanda Gomes"/>
    <x v="1"/>
    <d v="2024-08-12T00:00:00"/>
    <x v="1"/>
    <n v="5"/>
    <x v="0"/>
    <s v="No"/>
    <x v="1"/>
    <s v="No"/>
    <n v="0"/>
    <n v="1"/>
    <n v="4"/>
  </r>
  <r>
    <x v="169"/>
    <s v="Guilherme Souza"/>
    <x v="0"/>
    <d v="2024-08-13T00:00:00"/>
    <x v="0"/>
    <n v="15"/>
    <x v="1"/>
    <s v="Yes"/>
    <x v="0"/>
    <s v="Yes"/>
    <n v="20"/>
    <n v="5"/>
    <n v="60"/>
  </r>
  <r>
    <x v="170"/>
    <s v="Helena Ribeiro"/>
    <x v="2"/>
    <d v="2024-08-14T00:00:00"/>
    <x v="1"/>
    <n v="10"/>
    <x v="0"/>
    <s v="No"/>
    <x v="1"/>
    <s v="Yes"/>
    <n v="20"/>
    <n v="10"/>
    <n v="20"/>
  </r>
  <r>
    <x v="171"/>
    <s v="Igor Santos"/>
    <x v="1"/>
    <d v="2024-08-15T00:00:00"/>
    <x v="0"/>
    <n v="5"/>
    <x v="2"/>
    <s v="No"/>
    <x v="1"/>
    <s v="No"/>
    <n v="0"/>
    <n v="0"/>
    <n v="5"/>
  </r>
  <r>
    <x v="172"/>
    <s v="João Carvalho"/>
    <x v="0"/>
    <d v="2024-08-16T00:00:00"/>
    <x v="1"/>
    <n v="15"/>
    <x v="0"/>
    <s v="Yes"/>
    <x v="0"/>
    <s v="Yes"/>
    <n v="20"/>
    <n v="3"/>
    <n v="62"/>
  </r>
  <r>
    <x v="173"/>
    <s v="Klara Fagundes"/>
    <x v="2"/>
    <d v="2024-08-17T00:00:00"/>
    <x v="0"/>
    <n v="10"/>
    <x v="1"/>
    <s v="No"/>
    <x v="1"/>
    <s v="Yes"/>
    <n v="20"/>
    <n v="15"/>
    <n v="15"/>
  </r>
  <r>
    <x v="174"/>
    <s v="Lúcia Mendonça"/>
    <x v="1"/>
    <d v="2024-08-18T00:00:00"/>
    <x v="1"/>
    <n v="5"/>
    <x v="0"/>
    <s v="No"/>
    <x v="1"/>
    <s v="No"/>
    <n v="0"/>
    <n v="1"/>
    <n v="4"/>
  </r>
  <r>
    <x v="175"/>
    <s v="Marcelo Novaes"/>
    <x v="1"/>
    <d v="2024-08-19T00:00:00"/>
    <x v="0"/>
    <n v="5"/>
    <x v="0"/>
    <s v="No"/>
    <x v="1"/>
    <s v="No"/>
    <n v="0"/>
    <n v="0"/>
    <n v="5"/>
  </r>
  <r>
    <x v="176"/>
    <s v="Nina Pacheco"/>
    <x v="0"/>
    <d v="2024-08-20T00:00:00"/>
    <x v="1"/>
    <n v="15"/>
    <x v="2"/>
    <s v="Yes"/>
    <x v="0"/>
    <s v="Yes"/>
    <n v="20"/>
    <n v="7"/>
    <n v="58"/>
  </r>
  <r>
    <x v="177"/>
    <s v="Olívia Rios"/>
    <x v="2"/>
    <d v="2024-08-21T00:00:00"/>
    <x v="0"/>
    <n v="10"/>
    <x v="1"/>
    <s v="No"/>
    <x v="1"/>
    <s v="Yes"/>
    <n v="20"/>
    <n v="10"/>
    <n v="20"/>
  </r>
  <r>
    <x v="178"/>
    <s v="Paulo Quintana"/>
    <x v="1"/>
    <d v="2024-08-22T00:00:00"/>
    <x v="1"/>
    <n v="5"/>
    <x v="2"/>
    <s v="No"/>
    <x v="1"/>
    <s v="No"/>
    <n v="0"/>
    <n v="1"/>
    <n v="4"/>
  </r>
  <r>
    <x v="179"/>
    <s v="Raquel Domingos"/>
    <x v="0"/>
    <d v="2024-08-23T00:00:00"/>
    <x v="0"/>
    <n v="15"/>
    <x v="0"/>
    <s v="Yes"/>
    <x v="0"/>
    <s v="Yes"/>
    <n v="20"/>
    <n v="15"/>
    <n v="50"/>
  </r>
  <r>
    <x v="180"/>
    <s v="Samuel Viana"/>
    <x v="2"/>
    <d v="2024-08-24T00:00:00"/>
    <x v="1"/>
    <n v="10"/>
    <x v="0"/>
    <s v="No"/>
    <x v="1"/>
    <s v="Yes"/>
    <n v="20"/>
    <n v="5"/>
    <n v="25"/>
  </r>
  <r>
    <x v="181"/>
    <s v="Tatiane Rocha"/>
    <x v="1"/>
    <d v="2024-08-25T00:00:00"/>
    <x v="0"/>
    <n v="5"/>
    <x v="1"/>
    <s v="No"/>
    <x v="1"/>
    <s v="No"/>
    <n v="0"/>
    <n v="0"/>
    <n v="5"/>
  </r>
  <r>
    <x v="182"/>
    <s v="Ulysses Farias"/>
    <x v="0"/>
    <d v="2024-08-26T00:00:00"/>
    <x v="1"/>
    <n v="15"/>
    <x v="2"/>
    <s v="Yes"/>
    <x v="0"/>
    <s v="Yes"/>
    <n v="20"/>
    <n v="20"/>
    <n v="45"/>
  </r>
  <r>
    <x v="183"/>
    <s v="Vanessa Moreira"/>
    <x v="2"/>
    <d v="2024-08-27T00:00:00"/>
    <x v="0"/>
    <n v="10"/>
    <x v="2"/>
    <s v="No"/>
    <x v="1"/>
    <s v="Yes"/>
    <n v="20"/>
    <n v="12"/>
    <n v="18"/>
  </r>
  <r>
    <x v="184"/>
    <s v="William Carvalho"/>
    <x v="1"/>
    <d v="2024-08-28T00:00:00"/>
    <x v="1"/>
    <n v="5"/>
    <x v="0"/>
    <s v="No"/>
    <x v="1"/>
    <s v="No"/>
    <n v="0"/>
    <n v="2"/>
    <n v="3"/>
  </r>
  <r>
    <x v="185"/>
    <s v="Ximena Barros"/>
    <x v="0"/>
    <d v="2024-08-29T00:00:00"/>
    <x v="0"/>
    <n v="15"/>
    <x v="1"/>
    <s v="Yes"/>
    <x v="0"/>
    <s v="Yes"/>
    <n v="20"/>
    <n v="5"/>
    <n v="60"/>
  </r>
  <r>
    <x v="186"/>
    <s v="Yara Machado"/>
    <x v="2"/>
    <d v="2024-08-30T00:00:00"/>
    <x v="1"/>
    <n v="10"/>
    <x v="0"/>
    <s v="No"/>
    <x v="1"/>
    <s v="Yes"/>
    <n v="20"/>
    <n v="10"/>
    <n v="20"/>
  </r>
  <r>
    <x v="187"/>
    <s v="Zacarias Costa"/>
    <x v="1"/>
    <d v="2024-08-31T00:00:00"/>
    <x v="0"/>
    <n v="5"/>
    <x v="2"/>
    <s v="No"/>
    <x v="1"/>
    <s v="No"/>
    <n v="0"/>
    <n v="0"/>
    <n v="5"/>
  </r>
  <r>
    <x v="188"/>
    <s v="André Lopes"/>
    <x v="0"/>
    <d v="2024-09-01T00:00:00"/>
    <x v="1"/>
    <n v="15"/>
    <x v="0"/>
    <s v="Yes"/>
    <x v="0"/>
    <s v="Yes"/>
    <n v="20"/>
    <n v="3"/>
    <n v="62"/>
  </r>
  <r>
    <x v="189"/>
    <s v="Beatriz Souza"/>
    <x v="2"/>
    <d v="2024-09-02T00:00:00"/>
    <x v="0"/>
    <n v="10"/>
    <x v="1"/>
    <s v="No"/>
    <x v="1"/>
    <s v="Yes"/>
    <n v="20"/>
    <n v="15"/>
    <n v="15"/>
  </r>
  <r>
    <x v="190"/>
    <s v="Caio Pereira"/>
    <x v="1"/>
    <d v="2024-09-03T00:00:00"/>
    <x v="1"/>
    <n v="5"/>
    <x v="0"/>
    <s v="No"/>
    <x v="1"/>
    <s v="No"/>
    <n v="0"/>
    <n v="1"/>
    <n v="4"/>
  </r>
  <r>
    <x v="191"/>
    <s v="Daniela Araújo"/>
    <x v="0"/>
    <d v="2024-09-04T00:00:00"/>
    <x v="0"/>
    <n v="15"/>
    <x v="2"/>
    <s v="Yes"/>
    <x v="0"/>
    <s v="Yes"/>
    <n v="20"/>
    <n v="7"/>
    <n v="58"/>
  </r>
  <r>
    <x v="192"/>
    <s v="Eduardo Santos"/>
    <x v="2"/>
    <d v="2024-09-05T00:00:00"/>
    <x v="1"/>
    <n v="10"/>
    <x v="0"/>
    <s v="No"/>
    <x v="1"/>
    <s v="Yes"/>
    <n v="20"/>
    <n v="10"/>
    <n v="20"/>
  </r>
  <r>
    <x v="193"/>
    <s v="Fernanda Lima"/>
    <x v="1"/>
    <d v="2024-09-06T00:00:00"/>
    <x v="0"/>
    <n v="5"/>
    <x v="1"/>
    <s v="No"/>
    <x v="1"/>
    <s v="No"/>
    <n v="0"/>
    <n v="0"/>
    <n v="5"/>
  </r>
  <r>
    <x v="194"/>
    <s v="Gabriel Teixeira"/>
    <x v="0"/>
    <d v="2024-09-07T00:00:00"/>
    <x v="1"/>
    <n v="15"/>
    <x v="0"/>
    <s v="Yes"/>
    <x v="0"/>
    <s v="Yes"/>
    <n v="20"/>
    <n v="20"/>
    <n v="45"/>
  </r>
  <r>
    <x v="195"/>
    <s v="Helena Ribeiro"/>
    <x v="2"/>
    <d v="2024-09-08T00:00:00"/>
    <x v="0"/>
    <n v="10"/>
    <x v="2"/>
    <s v="No"/>
    <x v="1"/>
    <s v="Yes"/>
    <n v="20"/>
    <n v="15"/>
    <n v="15"/>
  </r>
  <r>
    <x v="196"/>
    <s v="Igor Mendes"/>
    <x v="1"/>
    <d v="2024-09-09T00:00:00"/>
    <x v="1"/>
    <n v="5"/>
    <x v="0"/>
    <s v="No"/>
    <x v="1"/>
    <s v="No"/>
    <n v="0"/>
    <n v="1"/>
    <n v="4"/>
  </r>
  <r>
    <x v="197"/>
    <s v="Joana Silveira"/>
    <x v="0"/>
    <d v="2024-09-10T00:00:00"/>
    <x v="0"/>
    <n v="15"/>
    <x v="1"/>
    <s v="Yes"/>
    <x v="0"/>
    <s v="Yes"/>
    <n v="20"/>
    <n v="3"/>
    <n v="62"/>
  </r>
  <r>
    <x v="198"/>
    <s v="Lucas Martins"/>
    <x v="2"/>
    <d v="2024-09-11T00:00:00"/>
    <x v="1"/>
    <n v="10"/>
    <x v="0"/>
    <s v="No"/>
    <x v="1"/>
    <s v="Yes"/>
    <n v="20"/>
    <n v="10"/>
    <n v="20"/>
  </r>
  <r>
    <x v="199"/>
    <s v="Marcela Gouveia"/>
    <x v="1"/>
    <d v="2024-09-12T00:00:00"/>
    <x v="0"/>
    <n v="5"/>
    <x v="2"/>
    <s v="No"/>
    <x v="1"/>
    <s v="No"/>
    <n v="0"/>
    <n v="0"/>
    <n v="5"/>
  </r>
  <r>
    <x v="200"/>
    <s v="Nicolas Borges"/>
    <x v="0"/>
    <d v="2024-09-13T00:00:00"/>
    <x v="1"/>
    <n v="15"/>
    <x v="0"/>
    <s v="Yes"/>
    <x v="0"/>
    <s v="Yes"/>
    <n v="20"/>
    <n v="15"/>
    <n v="50"/>
  </r>
  <r>
    <x v="201"/>
    <s v="Olivia Freitas"/>
    <x v="2"/>
    <d v="2024-09-14T00:00:00"/>
    <x v="0"/>
    <n v="10"/>
    <x v="1"/>
    <s v="No"/>
    <x v="1"/>
    <s v="Yes"/>
    <n v="20"/>
    <n v="15"/>
    <n v="15"/>
  </r>
  <r>
    <x v="202"/>
    <s v="Paulo Nogueira"/>
    <x v="1"/>
    <d v="2024-09-15T00:00:00"/>
    <x v="1"/>
    <n v="5"/>
    <x v="0"/>
    <s v="No"/>
    <x v="1"/>
    <s v="No"/>
    <n v="0"/>
    <n v="1"/>
    <n v="4"/>
  </r>
  <r>
    <x v="203"/>
    <s v="Raquel Andrade"/>
    <x v="0"/>
    <d v="2024-09-16T00:00:00"/>
    <x v="0"/>
    <n v="15"/>
    <x v="2"/>
    <s v="Yes"/>
    <x v="0"/>
    <s v="Yes"/>
    <n v="20"/>
    <n v="7"/>
    <n v="58"/>
  </r>
  <r>
    <x v="204"/>
    <s v="Sônia Carvalho"/>
    <x v="2"/>
    <d v="2024-09-17T00:00:00"/>
    <x v="1"/>
    <n v="10"/>
    <x v="0"/>
    <s v="No"/>
    <x v="1"/>
    <s v="Yes"/>
    <n v="20"/>
    <n v="10"/>
    <n v="20"/>
  </r>
  <r>
    <x v="205"/>
    <s v="Tiago Rodrigues"/>
    <x v="1"/>
    <d v="2024-09-18T00:00:00"/>
    <x v="0"/>
    <n v="5"/>
    <x v="0"/>
    <s v="No"/>
    <x v="1"/>
    <s v="No"/>
    <n v="0"/>
    <n v="0"/>
    <n v="5"/>
  </r>
  <r>
    <x v="206"/>
    <s v="Ursula Monteiro"/>
    <x v="0"/>
    <d v="2024-09-19T00:00:00"/>
    <x v="1"/>
    <n v="15"/>
    <x v="2"/>
    <s v="Yes"/>
    <x v="0"/>
    <s v="Yes"/>
    <n v="20"/>
    <n v="7"/>
    <n v="58"/>
  </r>
  <r>
    <x v="207"/>
    <s v="Vanessa Pereira"/>
    <x v="2"/>
    <d v="2024-09-20T00:00:00"/>
    <x v="0"/>
    <n v="10"/>
    <x v="1"/>
    <s v="No"/>
    <x v="1"/>
    <s v="Yes"/>
    <n v="20"/>
    <n v="10"/>
    <n v="20"/>
  </r>
  <r>
    <x v="208"/>
    <s v="Walter Silva"/>
    <x v="1"/>
    <d v="2024-09-21T00:00:00"/>
    <x v="1"/>
    <n v="5"/>
    <x v="2"/>
    <s v="No"/>
    <x v="1"/>
    <s v="No"/>
    <n v="0"/>
    <n v="1"/>
    <n v="4"/>
  </r>
  <r>
    <x v="209"/>
    <s v="Xavier Almeida"/>
    <x v="0"/>
    <d v="2024-09-22T00:00:00"/>
    <x v="0"/>
    <n v="15"/>
    <x v="0"/>
    <s v="Yes"/>
    <x v="0"/>
    <s v="Yes"/>
    <n v="20"/>
    <n v="15"/>
    <n v="50"/>
  </r>
  <r>
    <x v="210"/>
    <s v="Yasmine Correia"/>
    <x v="2"/>
    <d v="2024-09-23T00:00:00"/>
    <x v="1"/>
    <n v="10"/>
    <x v="0"/>
    <s v="No"/>
    <x v="1"/>
    <s v="Yes"/>
    <n v="20"/>
    <n v="5"/>
    <n v="25"/>
  </r>
  <r>
    <x v="211"/>
    <s v="Zacarias Almeida"/>
    <x v="1"/>
    <d v="2024-09-24T00:00:00"/>
    <x v="0"/>
    <n v="5"/>
    <x v="1"/>
    <s v="No"/>
    <x v="1"/>
    <s v="No"/>
    <n v="0"/>
    <n v="0"/>
    <n v="5"/>
  </r>
  <r>
    <x v="212"/>
    <s v="Amanda Costa"/>
    <x v="0"/>
    <d v="2024-09-25T00:00:00"/>
    <x v="1"/>
    <n v="15"/>
    <x v="2"/>
    <s v="Yes"/>
    <x v="0"/>
    <s v="Yes"/>
    <n v="20"/>
    <n v="20"/>
    <n v="45"/>
  </r>
  <r>
    <x v="213"/>
    <s v="Bruno Ferreira"/>
    <x v="2"/>
    <d v="2024-09-26T00:00:00"/>
    <x v="0"/>
    <n v="10"/>
    <x v="2"/>
    <s v="No"/>
    <x v="1"/>
    <s v="Yes"/>
    <n v="20"/>
    <n v="12"/>
    <n v="18"/>
  </r>
  <r>
    <x v="214"/>
    <s v="Carla Dias"/>
    <x v="1"/>
    <d v="2024-09-27T00:00:00"/>
    <x v="1"/>
    <n v="5"/>
    <x v="0"/>
    <s v="No"/>
    <x v="1"/>
    <s v="No"/>
    <n v="0"/>
    <n v="2"/>
    <n v="3"/>
  </r>
  <r>
    <x v="215"/>
    <s v="Diogo Martins"/>
    <x v="0"/>
    <d v="2024-09-28T00:00:00"/>
    <x v="0"/>
    <n v="15"/>
    <x v="1"/>
    <s v="Yes"/>
    <x v="0"/>
    <s v="Yes"/>
    <n v="20"/>
    <n v="5"/>
    <n v="60"/>
  </r>
  <r>
    <x v="216"/>
    <s v="Elisa Campos"/>
    <x v="2"/>
    <d v="2024-09-29T00:00:00"/>
    <x v="1"/>
    <n v="10"/>
    <x v="0"/>
    <s v="No"/>
    <x v="1"/>
    <s v="Yes"/>
    <n v="20"/>
    <n v="10"/>
    <n v="20"/>
  </r>
  <r>
    <x v="217"/>
    <s v="Fabiana Lima"/>
    <x v="1"/>
    <d v="2024-09-30T00:00:00"/>
    <x v="0"/>
    <n v="5"/>
    <x v="2"/>
    <s v="No"/>
    <x v="1"/>
    <s v="No"/>
    <n v="0"/>
    <n v="0"/>
    <n v="5"/>
  </r>
  <r>
    <x v="218"/>
    <s v="Gabriel Santos"/>
    <x v="0"/>
    <d v="2024-10-01T00:00:00"/>
    <x v="1"/>
    <n v="15"/>
    <x v="0"/>
    <s v="Yes"/>
    <x v="0"/>
    <s v="Yes"/>
    <n v="20"/>
    <n v="3"/>
    <n v="62"/>
  </r>
  <r>
    <x v="219"/>
    <s v="Helena Ferreira"/>
    <x v="2"/>
    <d v="2024-10-02T00:00:00"/>
    <x v="0"/>
    <n v="10"/>
    <x v="1"/>
    <s v="No"/>
    <x v="1"/>
    <s v="Yes"/>
    <n v="20"/>
    <n v="15"/>
    <n v="15"/>
  </r>
  <r>
    <x v="220"/>
    <s v="Ígor Nunes"/>
    <x v="1"/>
    <d v="2024-10-03T00:00:00"/>
    <x v="1"/>
    <n v="5"/>
    <x v="0"/>
    <s v="No"/>
    <x v="1"/>
    <s v="No"/>
    <n v="0"/>
    <n v="1"/>
    <n v="4"/>
  </r>
  <r>
    <x v="221"/>
    <s v="Joana Silveira"/>
    <x v="0"/>
    <d v="2024-10-04T00:00:00"/>
    <x v="0"/>
    <n v="15"/>
    <x v="2"/>
    <s v="Yes"/>
    <x v="0"/>
    <s v="Yes"/>
    <n v="20"/>
    <n v="7"/>
    <n v="58"/>
  </r>
  <r>
    <x v="222"/>
    <s v="Kléber Oliveira"/>
    <x v="2"/>
    <d v="2024-10-05T00:00:00"/>
    <x v="1"/>
    <n v="10"/>
    <x v="0"/>
    <s v="No"/>
    <x v="1"/>
    <s v="Yes"/>
    <n v="20"/>
    <n v="10"/>
    <n v="20"/>
  </r>
  <r>
    <x v="223"/>
    <s v="Luciana Morais"/>
    <x v="1"/>
    <d v="2024-10-06T00:00:00"/>
    <x v="0"/>
    <n v="5"/>
    <x v="1"/>
    <s v="No"/>
    <x v="1"/>
    <s v="No"/>
    <n v="0"/>
    <n v="0"/>
    <n v="5"/>
  </r>
  <r>
    <x v="224"/>
    <s v="Marcos Vinícius"/>
    <x v="0"/>
    <d v="2024-10-07T00:00:00"/>
    <x v="1"/>
    <n v="15"/>
    <x v="0"/>
    <s v="Yes"/>
    <x v="0"/>
    <s v="Yes"/>
    <n v="20"/>
    <n v="20"/>
    <n v="45"/>
  </r>
  <r>
    <x v="225"/>
    <s v="Natália Barros"/>
    <x v="2"/>
    <d v="2024-10-08T00:00:00"/>
    <x v="0"/>
    <n v="10"/>
    <x v="2"/>
    <s v="No"/>
    <x v="1"/>
    <s v="Yes"/>
    <n v="20"/>
    <n v="15"/>
    <n v="15"/>
  </r>
  <r>
    <x v="226"/>
    <s v="Oscar Sampaio"/>
    <x v="1"/>
    <d v="2024-10-09T00:00:00"/>
    <x v="1"/>
    <n v="5"/>
    <x v="0"/>
    <s v="No"/>
    <x v="1"/>
    <s v="No"/>
    <n v="0"/>
    <n v="1"/>
    <n v="4"/>
  </r>
  <r>
    <x v="227"/>
    <s v="Patrícia Leite"/>
    <x v="0"/>
    <d v="2024-10-10T00:00:00"/>
    <x v="0"/>
    <n v="15"/>
    <x v="1"/>
    <s v="Yes"/>
    <x v="0"/>
    <s v="Yes"/>
    <n v="20"/>
    <n v="3"/>
    <n v="62"/>
  </r>
  <r>
    <x v="228"/>
    <s v="Quênia Rocha"/>
    <x v="2"/>
    <d v="2024-10-11T00:00:00"/>
    <x v="1"/>
    <n v="10"/>
    <x v="0"/>
    <s v="No"/>
    <x v="1"/>
    <s v="Yes"/>
    <n v="20"/>
    <n v="10"/>
    <n v="20"/>
  </r>
  <r>
    <x v="229"/>
    <s v="Rafael Torres"/>
    <x v="1"/>
    <d v="2024-10-12T00:00:00"/>
    <x v="0"/>
    <n v="5"/>
    <x v="2"/>
    <s v="No"/>
    <x v="1"/>
    <s v="No"/>
    <n v="0"/>
    <n v="0"/>
    <n v="5"/>
  </r>
  <r>
    <x v="230"/>
    <s v="Sandra Gouveia"/>
    <x v="0"/>
    <d v="2024-10-13T00:00:00"/>
    <x v="1"/>
    <n v="15"/>
    <x v="0"/>
    <s v="Yes"/>
    <x v="0"/>
    <s v="Yes"/>
    <n v="20"/>
    <n v="15"/>
    <n v="50"/>
  </r>
  <r>
    <x v="231"/>
    <s v="Tiago Lacerda"/>
    <x v="2"/>
    <d v="2024-10-14T00:00:00"/>
    <x v="0"/>
    <n v="10"/>
    <x v="1"/>
    <s v="No"/>
    <x v="1"/>
    <s v="Yes"/>
    <n v="20"/>
    <n v="15"/>
    <n v="15"/>
  </r>
  <r>
    <x v="232"/>
    <s v="Ursula Fonseca"/>
    <x v="1"/>
    <d v="2024-10-15T00:00:00"/>
    <x v="1"/>
    <n v="5"/>
    <x v="0"/>
    <s v="No"/>
    <x v="1"/>
    <s v="No"/>
    <n v="0"/>
    <n v="1"/>
    <n v="4"/>
  </r>
  <r>
    <x v="233"/>
    <s v="Vanessa Andrade"/>
    <x v="0"/>
    <d v="2024-10-16T00:00:00"/>
    <x v="0"/>
    <n v="15"/>
    <x v="2"/>
    <s v="Yes"/>
    <x v="0"/>
    <s v="Yes"/>
    <n v="20"/>
    <n v="7"/>
    <n v="58"/>
  </r>
  <r>
    <x v="234"/>
    <s v="William Castro"/>
    <x v="2"/>
    <d v="2024-10-17T00:00:00"/>
    <x v="1"/>
    <n v="10"/>
    <x v="0"/>
    <s v="No"/>
    <x v="1"/>
    <s v="Yes"/>
    <n v="20"/>
    <n v="10"/>
    <n v="20"/>
  </r>
  <r>
    <x v="235"/>
    <s v="Xavier Monteiro"/>
    <x v="1"/>
    <d v="2024-10-18T00:00:00"/>
    <x v="0"/>
    <n v="5"/>
    <x v="1"/>
    <s v="No"/>
    <x v="1"/>
    <s v="No"/>
    <n v="0"/>
    <n v="0"/>
    <n v="5"/>
  </r>
  <r>
    <x v="236"/>
    <s v="Yasmin Figueira"/>
    <x v="0"/>
    <d v="2024-10-19T00:00:00"/>
    <x v="1"/>
    <n v="15"/>
    <x v="0"/>
    <s v="Yes"/>
    <x v="0"/>
    <s v="Yes"/>
    <n v="20"/>
    <n v="15"/>
    <n v="50"/>
  </r>
  <r>
    <x v="237"/>
    <s v="Zacarias Mendonça"/>
    <x v="2"/>
    <d v="2024-10-20T00:00:00"/>
    <x v="0"/>
    <n v="10"/>
    <x v="2"/>
    <s v="No"/>
    <x v="1"/>
    <s v="Yes"/>
    <n v="20"/>
    <n v="12"/>
    <n v="18"/>
  </r>
  <r>
    <x v="238"/>
    <s v="Amanda Menezes"/>
    <x v="1"/>
    <d v="2024-10-21T00:00:00"/>
    <x v="1"/>
    <n v="5"/>
    <x v="0"/>
    <s v="No"/>
    <x v="1"/>
    <s v="No"/>
    <n v="0"/>
    <n v="2"/>
    <n v="3"/>
  </r>
  <r>
    <x v="239"/>
    <s v="Bruno Santos"/>
    <x v="0"/>
    <d v="2024-10-22T00:00:00"/>
    <x v="0"/>
    <n v="15"/>
    <x v="1"/>
    <s v="Yes"/>
    <x v="0"/>
    <s v="Yes"/>
    <n v="20"/>
    <n v="5"/>
    <n v="60"/>
  </r>
  <r>
    <x v="240"/>
    <s v="Carla Ferreira"/>
    <x v="2"/>
    <d v="2024-10-23T00:00:00"/>
    <x v="1"/>
    <n v="10"/>
    <x v="0"/>
    <s v="No"/>
    <x v="1"/>
    <s v="Yes"/>
    <n v="20"/>
    <n v="10"/>
    <n v="20"/>
  </r>
  <r>
    <x v="241"/>
    <s v="Diogo Alves"/>
    <x v="1"/>
    <d v="2024-10-24T00:00:00"/>
    <x v="0"/>
    <n v="5"/>
    <x v="2"/>
    <s v="No"/>
    <x v="1"/>
    <s v="No"/>
    <n v="0"/>
    <n v="0"/>
    <n v="5"/>
  </r>
  <r>
    <x v="242"/>
    <s v="Elisa Neves"/>
    <x v="0"/>
    <d v="2024-10-25T00:00:00"/>
    <x v="1"/>
    <n v="15"/>
    <x v="0"/>
    <s v="Yes"/>
    <x v="0"/>
    <s v="Yes"/>
    <n v="20"/>
    <n v="3"/>
    <n v="62"/>
  </r>
  <r>
    <x v="243"/>
    <s v="Fabiano Pires"/>
    <x v="2"/>
    <d v="2024-10-26T00:00:00"/>
    <x v="0"/>
    <n v="10"/>
    <x v="1"/>
    <s v="No"/>
    <x v="1"/>
    <s v="Yes"/>
    <n v="20"/>
    <n v="15"/>
    <n v="15"/>
  </r>
  <r>
    <x v="244"/>
    <s v="Giovana Ribeiro"/>
    <x v="1"/>
    <d v="2024-10-27T00:00:00"/>
    <x v="1"/>
    <n v="5"/>
    <x v="0"/>
    <s v="No"/>
    <x v="1"/>
    <s v="No"/>
    <n v="0"/>
    <n v="1"/>
    <n v="4"/>
  </r>
  <r>
    <x v="245"/>
    <s v="Hélio Costa"/>
    <x v="0"/>
    <d v="2024-10-28T00:00:00"/>
    <x v="0"/>
    <n v="15"/>
    <x v="2"/>
    <s v="Yes"/>
    <x v="0"/>
    <s v="Yes"/>
    <n v="20"/>
    <n v="7"/>
    <n v="58"/>
  </r>
  <r>
    <x v="246"/>
    <s v="Íris Loureiro"/>
    <x v="2"/>
    <d v="2024-10-29T00:00:00"/>
    <x v="1"/>
    <n v="10"/>
    <x v="0"/>
    <s v="No"/>
    <x v="1"/>
    <s v="Yes"/>
    <n v="20"/>
    <n v="10"/>
    <n v="20"/>
  </r>
  <r>
    <x v="247"/>
    <s v="João Pereira"/>
    <x v="1"/>
    <d v="2024-10-30T00:00:00"/>
    <x v="0"/>
    <n v="5"/>
    <x v="1"/>
    <s v="No"/>
    <x v="1"/>
    <s v="No"/>
    <n v="0"/>
    <n v="0"/>
    <n v="5"/>
  </r>
  <r>
    <x v="248"/>
    <s v="Klara Silva"/>
    <x v="0"/>
    <d v="2024-10-31T00:00:00"/>
    <x v="1"/>
    <n v="15"/>
    <x v="0"/>
    <s v="Yes"/>
    <x v="0"/>
    <s v="Yes"/>
    <n v="20"/>
    <n v="20"/>
    <n v="45"/>
  </r>
  <r>
    <x v="249"/>
    <s v="Luciana Barros"/>
    <x v="2"/>
    <d v="2024-11-01T00:00:00"/>
    <x v="0"/>
    <n v="10"/>
    <x v="2"/>
    <s v="No"/>
    <x v="1"/>
    <s v="Yes"/>
    <n v="20"/>
    <n v="15"/>
    <n v="15"/>
  </r>
  <r>
    <x v="250"/>
    <s v="Marcos Gomes"/>
    <x v="1"/>
    <d v="2024-11-02T00:00:00"/>
    <x v="1"/>
    <n v="5"/>
    <x v="0"/>
    <s v="No"/>
    <x v="1"/>
    <s v="No"/>
    <n v="0"/>
    <n v="1"/>
    <n v="4"/>
  </r>
  <r>
    <x v="251"/>
    <s v="Natália Soares"/>
    <x v="0"/>
    <d v="2024-11-03T00:00:00"/>
    <x v="0"/>
    <n v="15"/>
    <x v="1"/>
    <s v="Yes"/>
    <x v="0"/>
    <s v="Yes"/>
    <n v="20"/>
    <n v="3"/>
    <n v="62"/>
  </r>
  <r>
    <x v="252"/>
    <s v="Oscar Machado"/>
    <x v="2"/>
    <d v="2024-11-04T00:00:00"/>
    <x v="1"/>
    <n v="10"/>
    <x v="0"/>
    <s v="No"/>
    <x v="1"/>
    <s v="Yes"/>
    <n v="20"/>
    <n v="10"/>
    <n v="20"/>
  </r>
  <r>
    <x v="253"/>
    <s v="Patrícia Lima"/>
    <x v="1"/>
    <d v="2024-11-05T00:00:00"/>
    <x v="0"/>
    <n v="5"/>
    <x v="2"/>
    <s v="No"/>
    <x v="1"/>
    <s v="No"/>
    <n v="0"/>
    <n v="0"/>
    <n v="5"/>
  </r>
  <r>
    <x v="254"/>
    <s v="Quirino Neto"/>
    <x v="0"/>
    <d v="2024-11-06T00:00:00"/>
    <x v="1"/>
    <n v="15"/>
    <x v="0"/>
    <s v="Yes"/>
    <x v="0"/>
    <s v="Yes"/>
    <n v="20"/>
    <n v="15"/>
    <n v="50"/>
  </r>
  <r>
    <x v="255"/>
    <s v="Rafaela Souza"/>
    <x v="1"/>
    <d v="2024-11-07T00:00:00"/>
    <x v="0"/>
    <n v="5"/>
    <x v="0"/>
    <s v="No"/>
    <x v="1"/>
    <s v="No"/>
    <n v="0"/>
    <n v="0"/>
    <n v="5"/>
  </r>
  <r>
    <x v="256"/>
    <s v="Sandro Almeida"/>
    <x v="0"/>
    <d v="2024-11-08T00:00:00"/>
    <x v="1"/>
    <n v="15"/>
    <x v="2"/>
    <s v="Yes"/>
    <x v="0"/>
    <s v="Yes"/>
    <n v="20"/>
    <n v="7"/>
    <n v="58"/>
  </r>
  <r>
    <x v="257"/>
    <s v="Tânia Ribeiro"/>
    <x v="2"/>
    <d v="2024-11-09T00:00:00"/>
    <x v="0"/>
    <n v="10"/>
    <x v="1"/>
    <s v="No"/>
    <x v="1"/>
    <s v="Yes"/>
    <n v="20"/>
    <n v="10"/>
    <n v="20"/>
  </r>
  <r>
    <x v="258"/>
    <s v="Ugo Dias"/>
    <x v="1"/>
    <d v="2024-11-10T00:00:00"/>
    <x v="1"/>
    <n v="5"/>
    <x v="2"/>
    <s v="No"/>
    <x v="1"/>
    <s v="No"/>
    <n v="0"/>
    <n v="1"/>
    <n v="4"/>
  </r>
  <r>
    <x v="259"/>
    <s v="Valéria Lima"/>
    <x v="0"/>
    <d v="2024-11-11T00:00:00"/>
    <x v="0"/>
    <n v="15"/>
    <x v="0"/>
    <s v="Yes"/>
    <x v="0"/>
    <s v="Yes"/>
    <n v="20"/>
    <n v="15"/>
    <n v="50"/>
  </r>
  <r>
    <x v="260"/>
    <s v="William Fernandes"/>
    <x v="2"/>
    <d v="2024-11-12T00:00:00"/>
    <x v="1"/>
    <n v="10"/>
    <x v="0"/>
    <s v="No"/>
    <x v="1"/>
    <s v="Yes"/>
    <n v="20"/>
    <n v="5"/>
    <n v="25"/>
  </r>
  <r>
    <x v="261"/>
    <s v="Xuxa Mendes"/>
    <x v="1"/>
    <d v="2024-11-13T00:00:00"/>
    <x v="0"/>
    <n v="5"/>
    <x v="1"/>
    <s v="No"/>
    <x v="1"/>
    <s v="No"/>
    <n v="0"/>
    <n v="0"/>
    <n v="5"/>
  </r>
  <r>
    <x v="262"/>
    <s v="Ygor Farias"/>
    <x v="0"/>
    <d v="2024-11-14T00:00:00"/>
    <x v="1"/>
    <n v="15"/>
    <x v="2"/>
    <s v="Yes"/>
    <x v="0"/>
    <s v="Yes"/>
    <n v="20"/>
    <n v="20"/>
    <n v="45"/>
  </r>
  <r>
    <x v="263"/>
    <s v="Zilda Barros"/>
    <x v="2"/>
    <d v="2024-11-15T00:00:00"/>
    <x v="0"/>
    <n v="10"/>
    <x v="2"/>
    <s v="No"/>
    <x v="1"/>
    <s v="Yes"/>
    <n v="20"/>
    <n v="12"/>
    <n v="18"/>
  </r>
  <r>
    <x v="264"/>
    <s v="Amanda Santos"/>
    <x v="1"/>
    <d v="2024-11-16T00:00:00"/>
    <x v="1"/>
    <n v="5"/>
    <x v="0"/>
    <s v="No"/>
    <x v="1"/>
    <s v="No"/>
    <n v="0"/>
    <n v="2"/>
    <n v="3"/>
  </r>
  <r>
    <x v="265"/>
    <s v="Bruno Costa"/>
    <x v="0"/>
    <d v="2024-11-17T00:00:00"/>
    <x v="0"/>
    <n v="15"/>
    <x v="1"/>
    <s v="Yes"/>
    <x v="0"/>
    <s v="Yes"/>
    <n v="20"/>
    <n v="5"/>
    <n v="60"/>
  </r>
  <r>
    <x v="266"/>
    <s v="Carla Rodrigues"/>
    <x v="2"/>
    <d v="2024-11-18T00:00:00"/>
    <x v="1"/>
    <n v="10"/>
    <x v="0"/>
    <s v="No"/>
    <x v="1"/>
    <s v="Yes"/>
    <n v="20"/>
    <n v="10"/>
    <n v="20"/>
  </r>
  <r>
    <x v="267"/>
    <s v="Diogo Pereira"/>
    <x v="1"/>
    <d v="2024-11-19T00:00:00"/>
    <x v="0"/>
    <n v="5"/>
    <x v="2"/>
    <s v="No"/>
    <x v="1"/>
    <s v="No"/>
    <n v="0"/>
    <n v="0"/>
    <n v="5"/>
  </r>
  <r>
    <x v="268"/>
    <s v="Elisa Correia"/>
    <x v="0"/>
    <d v="2024-11-20T00:00:00"/>
    <x v="1"/>
    <n v="15"/>
    <x v="0"/>
    <s v="Yes"/>
    <x v="0"/>
    <s v="Yes"/>
    <n v="20"/>
    <n v="3"/>
    <n v="62"/>
  </r>
  <r>
    <x v="269"/>
    <s v="Fábio Lourenço"/>
    <x v="2"/>
    <d v="2024-11-21T00:00:00"/>
    <x v="0"/>
    <n v="10"/>
    <x v="1"/>
    <s v="No"/>
    <x v="1"/>
    <s v="Yes"/>
    <n v="20"/>
    <n v="15"/>
    <n v="15"/>
  </r>
  <r>
    <x v="270"/>
    <s v="Gabriela Neves"/>
    <x v="1"/>
    <d v="2024-11-22T00:00:00"/>
    <x v="1"/>
    <n v="5"/>
    <x v="0"/>
    <s v="No"/>
    <x v="1"/>
    <s v="No"/>
    <n v="0"/>
    <n v="1"/>
    <n v="4"/>
  </r>
  <r>
    <x v="271"/>
    <s v="Henrique Gonçalves"/>
    <x v="0"/>
    <d v="2024-11-23T00:00:00"/>
    <x v="0"/>
    <n v="15"/>
    <x v="2"/>
    <s v="Yes"/>
    <x v="0"/>
    <s v="Yes"/>
    <n v="20"/>
    <n v="7"/>
    <n v="58"/>
  </r>
  <r>
    <x v="272"/>
    <s v="Íris Santos"/>
    <x v="2"/>
    <d v="2024-11-24T00:00:00"/>
    <x v="1"/>
    <n v="10"/>
    <x v="0"/>
    <s v="No"/>
    <x v="1"/>
    <s v="Yes"/>
    <n v="20"/>
    <n v="10"/>
    <n v="20"/>
  </r>
  <r>
    <x v="273"/>
    <s v="João Marcelo Alves"/>
    <x v="1"/>
    <d v="2024-11-25T00:00:00"/>
    <x v="0"/>
    <n v="5"/>
    <x v="1"/>
    <s v="No"/>
    <x v="1"/>
    <s v="No"/>
    <n v="0"/>
    <n v="0"/>
    <n v="5"/>
  </r>
  <r>
    <x v="274"/>
    <s v="Klara Fonseca"/>
    <x v="0"/>
    <d v="2024-11-26T00:00:00"/>
    <x v="1"/>
    <n v="15"/>
    <x v="0"/>
    <s v="Yes"/>
    <x v="0"/>
    <s v="Yes"/>
    <n v="20"/>
    <n v="20"/>
    <n v="45"/>
  </r>
  <r>
    <x v="275"/>
    <s v="Lucas Mendonça"/>
    <x v="2"/>
    <d v="2024-11-27T00:00:00"/>
    <x v="0"/>
    <n v="10"/>
    <x v="2"/>
    <s v="No"/>
    <x v="1"/>
    <s v="Yes"/>
    <n v="20"/>
    <n v="15"/>
    <n v="15"/>
  </r>
  <r>
    <x v="276"/>
    <s v="Marcela Torres"/>
    <x v="1"/>
    <d v="2024-11-28T00:00:00"/>
    <x v="1"/>
    <n v="5"/>
    <x v="0"/>
    <s v="No"/>
    <x v="1"/>
    <s v="No"/>
    <n v="0"/>
    <n v="1"/>
    <n v="4"/>
  </r>
  <r>
    <x v="277"/>
    <s v="Natália Castro"/>
    <x v="0"/>
    <d v="2024-11-29T00:00:00"/>
    <x v="0"/>
    <n v="15"/>
    <x v="1"/>
    <s v="Yes"/>
    <x v="0"/>
    <s v="Yes"/>
    <n v="20"/>
    <n v="3"/>
    <n v="62"/>
  </r>
  <r>
    <x v="278"/>
    <s v="Oscar Martins"/>
    <x v="2"/>
    <d v="2024-11-30T00:00:00"/>
    <x v="1"/>
    <n v="10"/>
    <x v="0"/>
    <s v="No"/>
    <x v="1"/>
    <s v="Yes"/>
    <n v="20"/>
    <n v="10"/>
    <n v="20"/>
  </r>
  <r>
    <x v="279"/>
    <s v="Patrícia Oliveira"/>
    <x v="1"/>
    <d v="2024-12-01T00:00:00"/>
    <x v="0"/>
    <n v="5"/>
    <x v="2"/>
    <s v="No"/>
    <x v="1"/>
    <s v="No"/>
    <n v="0"/>
    <n v="0"/>
    <n v="5"/>
  </r>
  <r>
    <x v="280"/>
    <s v="Quentin Nogueira"/>
    <x v="0"/>
    <d v="2024-12-02T00:00:00"/>
    <x v="1"/>
    <n v="15"/>
    <x v="0"/>
    <s v="Yes"/>
    <x v="0"/>
    <s v="Yes"/>
    <n v="20"/>
    <n v="15"/>
    <n v="50"/>
  </r>
  <r>
    <x v="281"/>
    <s v="Raquel Silva"/>
    <x v="2"/>
    <d v="2024-12-03T00:00:00"/>
    <x v="0"/>
    <n v="10"/>
    <x v="1"/>
    <s v="No"/>
    <x v="1"/>
    <s v="Yes"/>
    <n v="20"/>
    <n v="15"/>
    <n v="15"/>
  </r>
  <r>
    <x v="282"/>
    <s v="Sandro Gomes"/>
    <x v="1"/>
    <d v="2024-12-04T00:00:00"/>
    <x v="1"/>
    <n v="5"/>
    <x v="0"/>
    <s v="No"/>
    <x v="1"/>
    <s v="No"/>
    <n v="0"/>
    <n v="1"/>
    <n v="4"/>
  </r>
  <r>
    <x v="283"/>
    <s v="Tânia Machado"/>
    <x v="0"/>
    <d v="2024-12-05T00:00:00"/>
    <x v="0"/>
    <n v="15"/>
    <x v="2"/>
    <s v="Yes"/>
    <x v="0"/>
    <s v="Yes"/>
    <n v="20"/>
    <n v="7"/>
    <n v="58"/>
  </r>
  <r>
    <x v="284"/>
    <s v="Ursula Silva"/>
    <x v="2"/>
    <d v="2024-12-06T00:00:00"/>
    <x v="1"/>
    <n v="10"/>
    <x v="0"/>
    <s v="No"/>
    <x v="1"/>
    <s v="Yes"/>
    <n v="20"/>
    <n v="10"/>
    <n v="20"/>
  </r>
  <r>
    <x v="285"/>
    <s v="Vanessa Moraes"/>
    <x v="1"/>
    <d v="2024-12-07T00:00:00"/>
    <x v="0"/>
    <n v="5"/>
    <x v="1"/>
    <s v="No"/>
    <x v="1"/>
    <s v="No"/>
    <n v="0"/>
    <n v="0"/>
    <n v="5"/>
  </r>
  <r>
    <x v="286"/>
    <s v="William Carvalho"/>
    <x v="0"/>
    <d v="2024-12-08T00:00:00"/>
    <x v="1"/>
    <n v="15"/>
    <x v="0"/>
    <s v="Yes"/>
    <x v="0"/>
    <s v="Yes"/>
    <n v="20"/>
    <n v="20"/>
    <n v="45"/>
  </r>
  <r>
    <x v="287"/>
    <s v="Xavier Reis"/>
    <x v="2"/>
    <d v="2024-12-09T00:00:00"/>
    <x v="0"/>
    <n v="10"/>
    <x v="2"/>
    <s v="No"/>
    <x v="1"/>
    <s v="Yes"/>
    <n v="20"/>
    <n v="12"/>
    <n v="18"/>
  </r>
  <r>
    <x v="288"/>
    <s v="Yasmin Rocha"/>
    <x v="1"/>
    <d v="2024-12-10T00:00:00"/>
    <x v="1"/>
    <n v="5"/>
    <x v="0"/>
    <s v="No"/>
    <x v="1"/>
    <s v="No"/>
    <n v="0"/>
    <n v="2"/>
    <n v="3"/>
  </r>
  <r>
    <x v="289"/>
    <s v="Zacarias Duarte"/>
    <x v="0"/>
    <d v="2024-12-11T00:00:00"/>
    <x v="0"/>
    <n v="15"/>
    <x v="1"/>
    <s v="Yes"/>
    <x v="0"/>
    <s v="Yes"/>
    <n v="20"/>
    <n v="5"/>
    <n v="60"/>
  </r>
  <r>
    <x v="290"/>
    <s v="Amanda Freitas"/>
    <x v="2"/>
    <d v="2024-12-12T00:00:00"/>
    <x v="1"/>
    <n v="10"/>
    <x v="0"/>
    <s v="No"/>
    <x v="1"/>
    <s v="Yes"/>
    <n v="20"/>
    <n v="10"/>
    <n v="20"/>
  </r>
  <r>
    <x v="291"/>
    <s v="Bruno Almeida"/>
    <x v="1"/>
    <d v="2024-12-13T00:00:00"/>
    <x v="0"/>
    <n v="5"/>
    <x v="2"/>
    <s v="No"/>
    <x v="1"/>
    <s v="No"/>
    <n v="0"/>
    <n v="0"/>
    <n v="5"/>
  </r>
  <r>
    <x v="292"/>
    <s v="Carla Siqueira"/>
    <x v="0"/>
    <d v="2024-12-14T00:00:00"/>
    <x v="1"/>
    <n v="15"/>
    <x v="0"/>
    <s v="Yes"/>
    <x v="0"/>
    <s v="Yes"/>
    <n v="20"/>
    <n v="3"/>
    <n v="62"/>
  </r>
  <r>
    <x v="293"/>
    <s v="Diogo Ramos"/>
    <x v="2"/>
    <d v="2024-12-15T00:00:00"/>
    <x v="0"/>
    <n v="10"/>
    <x v="1"/>
    <s v="No"/>
    <x v="1"/>
    <s v="Yes"/>
    <n v="20"/>
    <n v="15"/>
    <n v="15"/>
  </r>
  <r>
    <x v="294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CFC64-E2B5-466A-87E8-72F93EA73172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A40:D45" firstHeaderRow="1" firstDataRow="2" firstDataCol="1" rowPageCount="1" colPageCount="1"/>
  <pivotFields count="13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Col" showAll="0" includeNewItemsInFilter="1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ntagem de Subscriber ID" fld="0" subtotal="count" showDataAs="percentOfRow" baseField="2" baseItem="0" numFmtId="10"/>
  </dataFields>
  <chartFormats count="12">
    <chartFormat chart="9" format="1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6F077-13F1-4CBC-8F8C-4A1154CA93E9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18:B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 includeNewItemsInFilter="1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00EE0-A67E-464A-AC12-B2CD03B79F8D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8:B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 includeNewItemsInFilter="1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4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29733-26FA-4532-8164-9E41B4491099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9:B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 includeNewItemsInFilter="1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EF76AB9-382C-43CB-9C3C-6762761BE46C}" sourceName="Subscription Type">
  <pivotTables>
    <pivotTable tabId="3" name="Tabela dinâmica4"/>
    <pivotTable tabId="3" name="Tabela dinâmica6"/>
    <pivotTable tabId="3" name="Tabela dinâmica7"/>
    <pivotTable tabId="3" name="Tabela dinâmica1"/>
  </pivotTables>
  <data>
    <tabular pivotCacheId="204479788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92C0B33-6C31-4D2D-AD06-47E88B55447B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No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G29" sqref="G29:H2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9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45"/>
  <sheetViews>
    <sheetView showGridLines="0" topLeftCell="A36" workbookViewId="0">
      <selection activeCell="G42" sqref="G42"/>
    </sheetView>
  </sheetViews>
  <sheetFormatPr defaultRowHeight="14.25"/>
  <cols>
    <col min="1" max="1" width="25.75" bestFit="1" customWidth="1"/>
    <col min="2" max="2" width="19.5" bestFit="1" customWidth="1"/>
    <col min="3" max="3" width="7" bestFit="1" customWidth="1"/>
    <col min="4" max="4" width="10.75" bestFit="1" customWidth="1"/>
    <col min="5" max="5" width="7" bestFit="1" customWidth="1"/>
    <col min="6" max="6" width="24.25" bestFit="1" customWidth="1"/>
    <col min="7" max="7" width="30.875" bestFit="1" customWidth="1"/>
    <col min="8" max="8" width="8.25" bestFit="1" customWidth="1"/>
    <col min="9" max="9" width="7.25" bestFit="1" customWidth="1"/>
    <col min="10" max="11" width="8.25" bestFit="1" customWidth="1"/>
    <col min="12" max="12" width="7.25" bestFit="1" customWidth="1"/>
    <col min="13" max="14" width="8.25" bestFit="1" customWidth="1"/>
    <col min="15" max="15" width="7.25" bestFit="1" customWidth="1"/>
    <col min="16" max="17" width="8.25" bestFit="1" customWidth="1"/>
    <col min="18" max="18" width="7.25" bestFit="1" customWidth="1"/>
    <col min="19" max="19" width="8.25" bestFit="1" customWidth="1"/>
    <col min="20" max="20" width="7.25" bestFit="1" customWidth="1"/>
    <col min="21" max="22" width="8.25" bestFit="1" customWidth="1"/>
    <col min="23" max="23" width="7.25" bestFit="1" customWidth="1"/>
    <col min="24" max="25" width="8.25" bestFit="1" customWidth="1"/>
    <col min="26" max="26" width="7.25" bestFit="1" customWidth="1"/>
    <col min="27" max="28" width="8.25" bestFit="1" customWidth="1"/>
    <col min="29" max="29" width="7.25" bestFit="1" customWidth="1"/>
    <col min="30" max="31" width="8.25" bestFit="1" customWidth="1"/>
    <col min="32" max="32" width="7.25" bestFit="1" customWidth="1"/>
    <col min="33" max="33" width="8.25" bestFit="1" customWidth="1"/>
    <col min="34" max="34" width="7.25" bestFit="1" customWidth="1"/>
    <col min="35" max="36" width="8.25" bestFit="1" customWidth="1"/>
    <col min="37" max="37" width="7.25" bestFit="1" customWidth="1"/>
    <col min="38" max="39" width="8.25" bestFit="1" customWidth="1"/>
    <col min="40" max="40" width="7.25" bestFit="1" customWidth="1"/>
    <col min="41" max="42" width="8.25" bestFit="1" customWidth="1"/>
    <col min="43" max="43" width="7.25" bestFit="1" customWidth="1"/>
    <col min="44" max="45" width="8.25" bestFit="1" customWidth="1"/>
    <col min="46" max="46" width="7.25" bestFit="1" customWidth="1"/>
    <col min="47" max="48" width="8.25" bestFit="1" customWidth="1"/>
    <col min="49" max="49" width="7.25" bestFit="1" customWidth="1"/>
    <col min="50" max="51" width="8.25" bestFit="1" customWidth="1"/>
    <col min="52" max="52" width="7.25" bestFit="1" customWidth="1"/>
    <col min="53" max="54" width="8.25" bestFit="1" customWidth="1"/>
    <col min="55" max="55" width="7.25" bestFit="1" customWidth="1"/>
    <col min="56" max="57" width="8.25" bestFit="1" customWidth="1"/>
    <col min="58" max="58" width="7.25" bestFit="1" customWidth="1"/>
    <col min="59" max="60" width="8.25" bestFit="1" customWidth="1"/>
    <col min="61" max="61" width="7.25" bestFit="1" customWidth="1"/>
    <col min="62" max="63" width="8.25" bestFit="1" customWidth="1"/>
    <col min="64" max="64" width="7.25" bestFit="1" customWidth="1"/>
    <col min="65" max="66" width="8.25" bestFit="1" customWidth="1"/>
    <col min="67" max="67" width="7.25" bestFit="1" customWidth="1"/>
    <col min="68" max="69" width="8.25" bestFit="1" customWidth="1"/>
    <col min="70" max="70" width="7.25" bestFit="1" customWidth="1"/>
    <col min="71" max="72" width="8.25" bestFit="1" customWidth="1"/>
    <col min="73" max="73" width="7.25" bestFit="1" customWidth="1"/>
    <col min="74" max="75" width="8.25" bestFit="1" customWidth="1"/>
    <col min="76" max="76" width="7.25" bestFit="1" customWidth="1"/>
    <col min="77" max="78" width="8.25" bestFit="1" customWidth="1"/>
    <col min="79" max="79" width="7.25" bestFit="1" customWidth="1"/>
    <col min="80" max="81" width="8.25" bestFit="1" customWidth="1"/>
    <col min="82" max="82" width="7.25" bestFit="1" customWidth="1"/>
    <col min="83" max="84" width="8.25" bestFit="1" customWidth="1"/>
    <col min="85" max="85" width="7.25" bestFit="1" customWidth="1"/>
    <col min="86" max="87" width="8.25" bestFit="1" customWidth="1"/>
    <col min="88" max="88" width="7.25" bestFit="1" customWidth="1"/>
    <col min="89" max="89" width="8.25" bestFit="1" customWidth="1"/>
    <col min="90" max="90" width="7.25" bestFit="1" customWidth="1"/>
    <col min="91" max="92" width="8.25" bestFit="1" customWidth="1"/>
    <col min="93" max="93" width="7.25" bestFit="1" customWidth="1"/>
    <col min="94" max="95" width="8.25" bestFit="1" customWidth="1"/>
    <col min="96" max="96" width="7.25" bestFit="1" customWidth="1"/>
    <col min="97" max="98" width="8.25" bestFit="1" customWidth="1"/>
    <col min="99" max="99" width="7.25" bestFit="1" customWidth="1"/>
    <col min="100" max="101" width="8.25" bestFit="1" customWidth="1"/>
    <col min="102" max="102" width="7.25" bestFit="1" customWidth="1"/>
    <col min="103" max="104" width="8.25" bestFit="1" customWidth="1"/>
    <col min="105" max="105" width="7.25" bestFit="1" customWidth="1"/>
    <col min="106" max="107" width="8.25" bestFit="1" customWidth="1"/>
    <col min="108" max="108" width="7.25" bestFit="1" customWidth="1"/>
    <col min="109" max="110" width="8.25" bestFit="1" customWidth="1"/>
    <col min="111" max="111" width="7.25" bestFit="1" customWidth="1"/>
    <col min="112" max="113" width="8.25" bestFit="1" customWidth="1"/>
    <col min="114" max="114" width="7.25" bestFit="1" customWidth="1"/>
    <col min="115" max="116" width="8.25" bestFit="1" customWidth="1"/>
    <col min="117" max="117" width="7.25" bestFit="1" customWidth="1"/>
    <col min="118" max="119" width="8.25" bestFit="1" customWidth="1"/>
    <col min="120" max="120" width="7.25" bestFit="1" customWidth="1"/>
    <col min="121" max="122" width="8.25" bestFit="1" customWidth="1"/>
    <col min="123" max="123" width="7.25" bestFit="1" customWidth="1"/>
    <col min="124" max="125" width="8.25" bestFit="1" customWidth="1"/>
    <col min="126" max="126" width="7.25" bestFit="1" customWidth="1"/>
    <col min="127" max="129" width="8.25" bestFit="1" customWidth="1"/>
    <col min="130" max="130" width="7.25" bestFit="1" customWidth="1"/>
    <col min="131" max="132" width="8.25" bestFit="1" customWidth="1"/>
    <col min="133" max="133" width="7.25" bestFit="1" customWidth="1"/>
    <col min="134" max="135" width="8.25" bestFit="1" customWidth="1"/>
    <col min="136" max="136" width="7.25" bestFit="1" customWidth="1"/>
    <col min="137" max="138" width="8.25" bestFit="1" customWidth="1"/>
    <col min="139" max="139" width="7.25" bestFit="1" customWidth="1"/>
    <col min="140" max="141" width="8.25" bestFit="1" customWidth="1"/>
    <col min="142" max="142" width="7.25" bestFit="1" customWidth="1"/>
    <col min="143" max="144" width="8.25" bestFit="1" customWidth="1"/>
    <col min="145" max="145" width="7.25" bestFit="1" customWidth="1"/>
    <col min="146" max="147" width="8.25" bestFit="1" customWidth="1"/>
    <col min="148" max="148" width="7.25" bestFit="1" customWidth="1"/>
    <col min="149" max="149" width="10.75" bestFit="1" customWidth="1"/>
    <col min="150" max="151" width="8.25" bestFit="1" customWidth="1"/>
    <col min="152" max="152" width="7.25" bestFit="1" customWidth="1"/>
    <col min="153" max="153" width="8.25" bestFit="1" customWidth="1"/>
    <col min="154" max="154" width="7.25" bestFit="1" customWidth="1"/>
    <col min="155" max="156" width="8.25" bestFit="1" customWidth="1"/>
    <col min="157" max="157" width="7.25" bestFit="1" customWidth="1"/>
    <col min="158" max="159" width="8.25" bestFit="1" customWidth="1"/>
    <col min="160" max="160" width="7.25" bestFit="1" customWidth="1"/>
    <col min="161" max="162" width="8.25" bestFit="1" customWidth="1"/>
    <col min="163" max="163" width="7.25" bestFit="1" customWidth="1"/>
    <col min="164" max="165" width="8.25" bestFit="1" customWidth="1"/>
    <col min="166" max="166" width="7.25" bestFit="1" customWidth="1"/>
    <col min="167" max="167" width="8.25" bestFit="1" customWidth="1"/>
    <col min="168" max="168" width="7.25" bestFit="1" customWidth="1"/>
    <col min="169" max="170" width="8.25" bestFit="1" customWidth="1"/>
    <col min="171" max="171" width="7.25" bestFit="1" customWidth="1"/>
    <col min="172" max="173" width="8.25" bestFit="1" customWidth="1"/>
    <col min="174" max="174" width="7.25" bestFit="1" customWidth="1"/>
    <col min="175" max="176" width="8.25" bestFit="1" customWidth="1"/>
    <col min="177" max="177" width="7.25" bestFit="1" customWidth="1"/>
    <col min="178" max="179" width="8.25" bestFit="1" customWidth="1"/>
    <col min="180" max="180" width="7.25" bestFit="1" customWidth="1"/>
    <col min="181" max="183" width="8.25" bestFit="1" customWidth="1"/>
    <col min="184" max="184" width="7.25" bestFit="1" customWidth="1"/>
    <col min="185" max="186" width="8.25" bestFit="1" customWidth="1"/>
    <col min="187" max="187" width="7.25" bestFit="1" customWidth="1"/>
    <col min="188" max="189" width="8.25" bestFit="1" customWidth="1"/>
    <col min="190" max="190" width="7.25" bestFit="1" customWidth="1"/>
    <col min="191" max="192" width="8.25" bestFit="1" customWidth="1"/>
    <col min="193" max="193" width="7.25" bestFit="1" customWidth="1"/>
    <col min="194" max="195" width="8.25" bestFit="1" customWidth="1"/>
    <col min="196" max="196" width="7.25" bestFit="1" customWidth="1"/>
    <col min="197" max="198" width="8.25" bestFit="1" customWidth="1"/>
    <col min="199" max="199" width="7.25" bestFit="1" customWidth="1"/>
    <col min="200" max="201" width="8.25" bestFit="1" customWidth="1"/>
    <col min="202" max="203" width="7.25" bestFit="1" customWidth="1"/>
    <col min="204" max="205" width="8.25" bestFit="1" customWidth="1"/>
    <col min="206" max="206" width="7.25" bestFit="1" customWidth="1"/>
    <col min="207" max="208" width="8.25" bestFit="1" customWidth="1"/>
    <col min="209" max="209" width="7.25" bestFit="1" customWidth="1"/>
    <col min="210" max="211" width="8.25" bestFit="1" customWidth="1"/>
    <col min="212" max="212" width="7.25" bestFit="1" customWidth="1"/>
    <col min="213" max="214" width="8.25" bestFit="1" customWidth="1"/>
    <col min="215" max="215" width="7.25" bestFit="1" customWidth="1"/>
    <col min="216" max="217" width="8.25" bestFit="1" customWidth="1"/>
    <col min="218" max="218" width="7.25" bestFit="1" customWidth="1"/>
    <col min="219" max="220" width="8.25" bestFit="1" customWidth="1"/>
    <col min="221" max="221" width="7.25" bestFit="1" customWidth="1"/>
    <col min="222" max="223" width="8.25" bestFit="1" customWidth="1"/>
    <col min="224" max="224" width="7.25" bestFit="1" customWidth="1"/>
    <col min="225" max="226" width="8.25" bestFit="1" customWidth="1"/>
    <col min="227" max="227" width="7.25" bestFit="1" customWidth="1"/>
    <col min="228" max="229" width="8.25" bestFit="1" customWidth="1"/>
    <col min="230" max="230" width="7.25" bestFit="1" customWidth="1"/>
    <col min="231" max="232" width="8.25" bestFit="1" customWidth="1"/>
    <col min="233" max="233" width="7.25" bestFit="1" customWidth="1"/>
    <col min="234" max="235" width="8.25" bestFit="1" customWidth="1"/>
    <col min="236" max="236" width="7.25" bestFit="1" customWidth="1"/>
    <col min="237" max="237" width="8.25" bestFit="1" customWidth="1"/>
    <col min="238" max="238" width="7.25" bestFit="1" customWidth="1"/>
    <col min="239" max="240" width="8.25" bestFit="1" customWidth="1"/>
    <col min="241" max="241" width="7.25" bestFit="1" customWidth="1"/>
    <col min="242" max="243" width="8.25" bestFit="1" customWidth="1"/>
    <col min="244" max="244" width="7.25" bestFit="1" customWidth="1"/>
    <col min="245" max="246" width="8.25" bestFit="1" customWidth="1"/>
    <col min="247" max="247" width="7.25" bestFit="1" customWidth="1"/>
    <col min="248" max="249" width="8.25" bestFit="1" customWidth="1"/>
    <col min="250" max="250" width="7.25" bestFit="1" customWidth="1"/>
    <col min="251" max="252" width="8.25" bestFit="1" customWidth="1"/>
    <col min="253" max="253" width="7.25" bestFit="1" customWidth="1"/>
    <col min="254" max="255" width="8.25" bestFit="1" customWidth="1"/>
    <col min="256" max="256" width="7.25" bestFit="1" customWidth="1"/>
    <col min="257" max="258" width="8.25" bestFit="1" customWidth="1"/>
    <col min="259" max="259" width="7.25" bestFit="1" customWidth="1"/>
    <col min="260" max="261" width="8.25" bestFit="1" customWidth="1"/>
    <col min="262" max="262" width="7.25" bestFit="1" customWidth="1"/>
    <col min="263" max="264" width="8.25" bestFit="1" customWidth="1"/>
    <col min="265" max="265" width="7.25" bestFit="1" customWidth="1"/>
    <col min="266" max="267" width="8.25" bestFit="1" customWidth="1"/>
    <col min="268" max="268" width="7.25" bestFit="1" customWidth="1"/>
    <col min="269" max="270" width="8.25" bestFit="1" customWidth="1"/>
    <col min="271" max="271" width="7.25" bestFit="1" customWidth="1"/>
    <col min="272" max="273" width="8.25" bestFit="1" customWidth="1"/>
    <col min="274" max="274" width="7.25" bestFit="1" customWidth="1"/>
    <col min="275" max="276" width="8.25" bestFit="1" customWidth="1"/>
    <col min="277" max="278" width="7.25" bestFit="1" customWidth="1"/>
    <col min="279" max="280" width="8.25" bestFit="1" customWidth="1"/>
    <col min="281" max="281" width="7.25" bestFit="1" customWidth="1"/>
    <col min="282" max="283" width="8.25" bestFit="1" customWidth="1"/>
    <col min="284" max="284" width="7.25" bestFit="1" customWidth="1"/>
    <col min="285" max="286" width="8.25" bestFit="1" customWidth="1"/>
    <col min="287" max="287" width="7.25" bestFit="1" customWidth="1"/>
    <col min="288" max="289" width="8.25" bestFit="1" customWidth="1"/>
    <col min="290" max="290" width="7.25" bestFit="1" customWidth="1"/>
    <col min="291" max="292" width="8.25" bestFit="1" customWidth="1"/>
    <col min="293" max="293" width="7.25" bestFit="1" customWidth="1"/>
    <col min="294" max="295" width="8.25" bestFit="1" customWidth="1"/>
    <col min="296" max="296" width="7.25" bestFit="1" customWidth="1"/>
    <col min="297" max="297" width="8.25" bestFit="1" customWidth="1"/>
    <col min="298" max="299" width="10.75" bestFit="1" customWidth="1"/>
  </cols>
  <sheetData>
    <row r="2" spans="1:2">
      <c r="A2" t="s">
        <v>313</v>
      </c>
    </row>
    <row r="4" spans="1:2">
      <c r="A4" t="s">
        <v>317</v>
      </c>
    </row>
    <row r="6" spans="1:2">
      <c r="A6" s="12" t="s">
        <v>16</v>
      </c>
      <c r="B6" t="s">
        <v>27</v>
      </c>
    </row>
    <row r="8" spans="1:2">
      <c r="A8" s="12" t="s">
        <v>314</v>
      </c>
      <c r="B8" t="s">
        <v>316</v>
      </c>
    </row>
    <row r="9" spans="1:2">
      <c r="A9" s="13" t="s">
        <v>23</v>
      </c>
      <c r="B9" s="15">
        <v>806</v>
      </c>
    </row>
    <row r="10" spans="1:2">
      <c r="A10" s="13" t="s">
        <v>19</v>
      </c>
      <c r="B10" s="15">
        <v>1502</v>
      </c>
    </row>
    <row r="11" spans="1:2">
      <c r="A11" s="13" t="s">
        <v>315</v>
      </c>
      <c r="B11" s="15">
        <v>2308</v>
      </c>
    </row>
    <row r="14" spans="1:2">
      <c r="A14" s="13" t="s">
        <v>319</v>
      </c>
    </row>
    <row r="16" spans="1:2">
      <c r="A16" s="12" t="s">
        <v>16</v>
      </c>
      <c r="B16" t="s">
        <v>27</v>
      </c>
    </row>
    <row r="18" spans="1:4">
      <c r="A18" s="12" t="s">
        <v>314</v>
      </c>
      <c r="B18" t="s">
        <v>320</v>
      </c>
    </row>
    <row r="19" spans="1:4">
      <c r="A19" s="13" t="s">
        <v>22</v>
      </c>
      <c r="B19" s="14">
        <v>0</v>
      </c>
    </row>
    <row r="20" spans="1:4">
      <c r="A20" s="13" t="s">
        <v>26</v>
      </c>
      <c r="B20" s="14">
        <v>0</v>
      </c>
    </row>
    <row r="21" spans="1:4">
      <c r="A21" s="13" t="s">
        <v>18</v>
      </c>
      <c r="B21" s="14">
        <v>990</v>
      </c>
    </row>
    <row r="22" spans="1:4">
      <c r="A22" s="13" t="s">
        <v>315</v>
      </c>
      <c r="B22" s="14">
        <v>990</v>
      </c>
      <c r="D22" s="18">
        <f>GETPIVOTDATA("EA Play Season Pass
Price",$A$18)</f>
        <v>990</v>
      </c>
    </row>
    <row r="25" spans="1:4">
      <c r="A25" s="13" t="s">
        <v>321</v>
      </c>
    </row>
    <row r="27" spans="1:4">
      <c r="A27" s="12" t="s">
        <v>16</v>
      </c>
      <c r="B27" t="s">
        <v>27</v>
      </c>
    </row>
    <row r="29" spans="1:4">
      <c r="A29" s="12" t="s">
        <v>314</v>
      </c>
      <c r="B29" t="s">
        <v>322</v>
      </c>
    </row>
    <row r="30" spans="1:4">
      <c r="A30" s="13" t="s">
        <v>22</v>
      </c>
      <c r="B30" s="15">
        <v>0</v>
      </c>
    </row>
    <row r="31" spans="1:4">
      <c r="A31" s="13" t="s">
        <v>26</v>
      </c>
      <c r="B31" s="15">
        <v>480</v>
      </c>
    </row>
    <row r="32" spans="1:4">
      <c r="A32" s="13" t="s">
        <v>18</v>
      </c>
      <c r="B32" s="15">
        <v>660</v>
      </c>
    </row>
    <row r="33" spans="1:4">
      <c r="A33" s="13" t="s">
        <v>315</v>
      </c>
      <c r="B33" s="15">
        <v>1140</v>
      </c>
      <c r="D33" s="18">
        <f>GETPIVOTDATA("Minecraft Season Pass Price",$A$29)</f>
        <v>1140</v>
      </c>
    </row>
    <row r="36" spans="1:4">
      <c r="A36" s="13" t="s">
        <v>326</v>
      </c>
    </row>
    <row r="38" spans="1:4">
      <c r="A38" s="12" t="s">
        <v>16</v>
      </c>
      <c r="B38" t="s">
        <v>27</v>
      </c>
    </row>
    <row r="40" spans="1:4">
      <c r="A40" s="12" t="s">
        <v>327</v>
      </c>
      <c r="B40" s="12" t="s">
        <v>328</v>
      </c>
    </row>
    <row r="41" spans="1:4">
      <c r="A41" s="12" t="s">
        <v>314</v>
      </c>
      <c r="B41" t="s">
        <v>23</v>
      </c>
      <c r="C41" t="s">
        <v>19</v>
      </c>
      <c r="D41" t="s">
        <v>315</v>
      </c>
    </row>
    <row r="42" spans="1:4">
      <c r="A42" s="13" t="s">
        <v>22</v>
      </c>
      <c r="B42" s="26">
        <v>0.2857142857142857</v>
      </c>
      <c r="C42" s="26">
        <v>0.7142857142857143</v>
      </c>
      <c r="D42" s="26">
        <v>1</v>
      </c>
    </row>
    <row r="43" spans="1:4">
      <c r="A43" s="13" t="s">
        <v>26</v>
      </c>
      <c r="B43" s="26">
        <v>0.125</v>
      </c>
      <c r="C43" s="26">
        <v>0.875</v>
      </c>
      <c r="D43" s="26">
        <v>1</v>
      </c>
    </row>
    <row r="44" spans="1:4">
      <c r="A44" s="13" t="s">
        <v>18</v>
      </c>
      <c r="B44" s="26">
        <v>0.42424242424242425</v>
      </c>
      <c r="C44" s="26">
        <v>0.5757575757575758</v>
      </c>
      <c r="D44" s="26">
        <v>1</v>
      </c>
    </row>
    <row r="45" spans="1:4">
      <c r="A45" s="13" t="s">
        <v>315</v>
      </c>
      <c r="B45" s="26">
        <v>0.29411764705882354</v>
      </c>
      <c r="C45" s="26">
        <v>0.70588235294117652</v>
      </c>
      <c r="D45" s="2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51"/>
  <sheetViews>
    <sheetView showGridLines="0" tabSelected="1" zoomScale="80" zoomScaleNormal="80" workbookViewId="0">
      <selection activeCell="Y30" sqref="Y30"/>
    </sheetView>
  </sheetViews>
  <sheetFormatPr defaultRowHeight="14.25"/>
  <cols>
    <col min="1" max="1" width="24.875" style="4" customWidth="1"/>
    <col min="2" max="2" width="3.625" customWidth="1"/>
    <col min="12" max="12" width="6.625" customWidth="1"/>
  </cols>
  <sheetData>
    <row r="1" spans="1:26" ht="15" customHeight="1"/>
    <row r="2" spans="1:26" ht="39" customHeight="1" thickBot="1">
      <c r="C2" s="22" t="s">
        <v>318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1"/>
      <c r="T2" s="21"/>
      <c r="U2" s="21"/>
      <c r="V2" s="21"/>
    </row>
    <row r="3" spans="1:26" ht="13.5" customHeight="1" thickTop="1">
      <c r="C3" s="17"/>
    </row>
    <row r="4" spans="1:26" ht="8.25" customHeight="1"/>
    <row r="5" spans="1:26" ht="13.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4" customHeight="1">
      <c r="A6" s="24" t="s">
        <v>323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33" customHeight="1">
      <c r="A8" s="23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2:26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2:26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2:26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2:26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2:26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2:26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2:26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2:26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2:26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2:26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2:26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2:26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2:26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2:26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2:26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2:26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2:26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2:26">
      <c r="B34" s="16"/>
      <c r="C34" s="25" t="s">
        <v>325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2:26">
      <c r="B35" s="16"/>
      <c r="C35" s="25" t="s">
        <v>324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2:26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2:26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2:26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2:26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2:26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2:26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2:26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2:26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2:26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2:26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26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2:26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2:26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2:26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2:26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2:26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admin</cp:lastModifiedBy>
  <dcterms:created xsi:type="dcterms:W3CDTF">2024-12-19T13:13:10Z</dcterms:created>
  <dcterms:modified xsi:type="dcterms:W3CDTF">2025-11-21T21:24:05Z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